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MyWorkspace\2025\GanttCharts\"/>
    </mc:Choice>
  </mc:AlternateContent>
  <xr:revisionPtr revIDLastSave="0" documentId="13_ncr:1_{0928D17F-C28D-4BE8-9F27-FFAE5F21411D}" xr6:coauthVersionLast="47" xr6:coauthVersionMax="47" xr10:uidLastSave="{00000000-0000-0000-0000-000000000000}"/>
  <bookViews>
    <workbookView xWindow="-28920" yWindow="1275" windowWidth="29040" windowHeight="17520" xr2:uid="{00000000-000D-0000-FFFF-FFFF00000000}"/>
  </bookViews>
  <sheets>
    <sheet name="vs" sheetId="4" r:id="rId1"/>
    <sheet name="wr" sheetId="2" r:id="rId2"/>
    <sheet name="wr2" sheetId="3" r:id="rId3"/>
    <sheet name="wr_original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" i="4" l="1"/>
  <c r="I35" i="4"/>
  <c r="I34" i="4"/>
  <c r="I33" i="4"/>
  <c r="I27" i="4"/>
  <c r="I26" i="4"/>
  <c r="I13" i="4"/>
  <c r="I12" i="4"/>
  <c r="I34" i="2"/>
  <c r="J40" i="3"/>
  <c r="J39" i="3"/>
  <c r="J62" i="3"/>
  <c r="J32" i="3"/>
  <c r="J31" i="3"/>
  <c r="J25" i="3"/>
  <c r="J24" i="3"/>
  <c r="J12" i="3"/>
  <c r="J11" i="3"/>
  <c r="I59" i="2"/>
  <c r="I35" i="2"/>
  <c r="I33" i="2"/>
  <c r="I27" i="2"/>
  <c r="I26" i="2"/>
  <c r="I13" i="2"/>
  <c r="I12" i="2"/>
  <c r="H37" i="1"/>
  <c r="H38" i="1"/>
  <c r="H32" i="1"/>
  <c r="H20" i="1"/>
  <c r="H19" i="1"/>
  <c r="H18" i="1"/>
  <c r="H17" i="1"/>
  <c r="H13" i="1"/>
  <c r="H14" i="1"/>
  <c r="H15" i="1"/>
  <c r="H16" i="1"/>
  <c r="H3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tc={4DD835E2-652A-4DBE-986F-1F503FC0F1C9}</author>
  </authors>
  <commentList>
    <comment ref="A44" authorId="0" shapeId="0" xr:uid="{4DD835E2-652A-4DBE-986F-1F503FC0F1C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tc={7D1B6397-4C5D-4D15-89E4-F3605301496E}</author>
  </authors>
  <commentList>
    <comment ref="A44" authorId="0" shapeId="0" xr:uid="{7D1B6397-4C5D-4D15-89E4-F3605301496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tc={A963CFE7-E6F3-4C8F-8546-A6EFEDBD21B2}</author>
  </authors>
  <commentList>
    <comment ref="A48" authorId="0" shapeId="0" xr:uid="{A963CFE7-E6F3-4C8F-8546-A6EFEDBD21B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</t>
      </text>
    </comment>
  </commentList>
</comments>
</file>

<file path=xl/sharedStrings.xml><?xml version="1.0" encoding="utf-8"?>
<sst xmlns="http://schemas.openxmlformats.org/spreadsheetml/2006/main" count="1427" uniqueCount="106">
  <si>
    <t>VitalSign</t>
  </si>
  <si>
    <t>Start</t>
  </si>
  <si>
    <t>End</t>
  </si>
  <si>
    <t>Task</t>
  </si>
  <si>
    <t>TaskManager</t>
  </si>
  <si>
    <t>TaskType</t>
  </si>
  <si>
    <t>TaskColor</t>
  </si>
  <si>
    <t>Status</t>
  </si>
  <si>
    <t>Days</t>
  </si>
  <si>
    <t>Notes</t>
  </si>
  <si>
    <t>Water quality</t>
  </si>
  <si>
    <t>Field preparation</t>
  </si>
  <si>
    <t>FCL/DMA</t>
  </si>
  <si>
    <t>Data collection</t>
  </si>
  <si>
    <t>#00668A</t>
  </si>
  <si>
    <t>Future steps</t>
  </si>
  <si>
    <t xml:space="preserve">Geospatial data management </t>
  </si>
  <si>
    <t>GIS</t>
  </si>
  <si>
    <t>Operational</t>
  </si>
  <si>
    <t>Field visits &amp; mail samples (Spring)</t>
  </si>
  <si>
    <t>FCL</t>
  </si>
  <si>
    <t>Field visits &amp; mail samples (Summer)</t>
  </si>
  <si>
    <t>Field visits &amp; mail samples (Fall)</t>
  </si>
  <si>
    <t>Field visits &amp; mail samples (Winter)</t>
  </si>
  <si>
    <t>Lab data receipt (Spring)</t>
  </si>
  <si>
    <t>PM/FCL</t>
  </si>
  <si>
    <t>Highly variable (Lab)</t>
  </si>
  <si>
    <t>highly variable</t>
  </si>
  <si>
    <t>Lab data receipt (Summer)</t>
  </si>
  <si>
    <t>Lab data receipt (Fall)</t>
  </si>
  <si>
    <t>Lab data receipt (Winter)</t>
  </si>
  <si>
    <t>Continuous data exported to Aquarius</t>
  </si>
  <si>
    <t>Data entry &amp; QA/QC</t>
  </si>
  <si>
    <t>#AC4F10</t>
  </si>
  <si>
    <t>Discrete data imported into Access database</t>
  </si>
  <si>
    <t>QA/QC - Continuous data - Aquarius</t>
  </si>
  <si>
    <t>FCL/PM/DM</t>
  </si>
  <si>
    <t>Needs to be updated</t>
  </si>
  <si>
    <t>water quality lab issues; need to figure out first</t>
  </si>
  <si>
    <t>QA/QC - Discrete data</t>
  </si>
  <si>
    <t>PM/DM</t>
  </si>
  <si>
    <t xml:space="preserve">QA/QC - NWQL data </t>
  </si>
  <si>
    <t>Validated/Certified data imported into Production SQL database</t>
  </si>
  <si>
    <t>Data publication</t>
  </si>
  <si>
    <t>Data reporting/publication</t>
  </si>
  <si>
    <t>#7A007A</t>
  </si>
  <si>
    <t>Outstanding</t>
  </si>
  <si>
    <t>Data analysis/reporting</t>
  </si>
  <si>
    <t>PM/DM/GIS</t>
  </si>
  <si>
    <t>Aquatic macroinvertebrates</t>
  </si>
  <si>
    <t>PM</t>
  </si>
  <si>
    <t>Field data imported into Development SQL database (Spring)</t>
  </si>
  <si>
    <t>Field data imported into Development SQL database (Fall)</t>
  </si>
  <si>
    <t>QA/QC of field and lab data in R</t>
  </si>
  <si>
    <t>fix end date to be 6 months</t>
  </si>
  <si>
    <t>Groundwater</t>
  </si>
  <si>
    <t>Field preparation/visits</t>
  </si>
  <si>
    <t>Field data entered into SQL database (Development)</t>
  </si>
  <si>
    <t>Field data imported into Aquarius</t>
  </si>
  <si>
    <t>Well Elevation Level Assessment</t>
  </si>
  <si>
    <t>FCL/GIS</t>
  </si>
  <si>
    <t>QA/QC -Discrete data</t>
  </si>
  <si>
    <t>Geospatial Management of Groundwater Sites and Control Points</t>
  </si>
  <si>
    <t>#AC4F11</t>
  </si>
  <si>
    <t>Upland vegetation</t>
  </si>
  <si>
    <t>Field crew hiring</t>
  </si>
  <si>
    <t>Permitting and reporting</t>
  </si>
  <si>
    <t>DMA/FCL/GIS</t>
  </si>
  <si>
    <t>Field training</t>
  </si>
  <si>
    <t xml:space="preserve">Field visits </t>
  </si>
  <si>
    <t>Field data merged into Access database</t>
  </si>
  <si>
    <t>QA/QC - Field data paper data sheets</t>
  </si>
  <si>
    <t>QA/QC - Validation scripts</t>
  </si>
  <si>
    <t>Birds</t>
  </si>
  <si>
    <t>PM/IBP</t>
  </si>
  <si>
    <t>PM/DMA</t>
  </si>
  <si>
    <t>PM/DMA/GIS</t>
  </si>
  <si>
    <t>Field data entered into Access database/Additional data preparation</t>
  </si>
  <si>
    <t>PM/FCL/GIS/DMA</t>
  </si>
  <si>
    <t>QA/QC (Access) - Field data validated</t>
  </si>
  <si>
    <t>PM/DMA/IBP</t>
  </si>
  <si>
    <t>Validated/Certified data into Access database</t>
  </si>
  <si>
    <t>PM/DM/DMA</t>
  </si>
  <si>
    <t>TBD</t>
  </si>
  <si>
    <t>SamplingYear</t>
  </si>
  <si>
    <t>Y1</t>
  </si>
  <si>
    <t>QA/QC - Field data</t>
  </si>
  <si>
    <t>QA/QC - Aquarius</t>
  </si>
  <si>
    <t>Y2</t>
  </si>
  <si>
    <t>DMA/FCL</t>
  </si>
  <si>
    <t>Validated/Certified data in Access database</t>
  </si>
  <si>
    <t>Lab data imported into SQL database</t>
  </si>
  <si>
    <t>Continuous data exported to Aquarius (Spring)</t>
  </si>
  <si>
    <t>Continuous data exported to Aquarius (Summer)</t>
  </si>
  <si>
    <t>Continuous data exported to Aquarius (Fall)</t>
  </si>
  <si>
    <t>Continuous data exported to Aquarius (Winter)</t>
  </si>
  <si>
    <t>Core parameter data imported  into Access database (convert to SQL)</t>
  </si>
  <si>
    <t>QA/QC - Continuous and core parameter data</t>
  </si>
  <si>
    <t>QA/QC - NWQL data</t>
  </si>
  <si>
    <t>Field data imported into SQL database (Spring)</t>
  </si>
  <si>
    <t>Field data imported into SQL database (Fall)</t>
  </si>
  <si>
    <t>QA/QC</t>
  </si>
  <si>
    <t>Field data imported into SQL database</t>
  </si>
  <si>
    <t>Future development</t>
  </si>
  <si>
    <t>In progress</t>
  </si>
  <si>
    <t>Discrete data entered into SQL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</si>
</sst>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668A"/>
      <name val="Calibri"/>
      <family val="2"/>
      <scheme val="minor"/>
    </font>
    <font>
      <sz val="11"/>
      <color rgb="FF7A007A"/>
      <name val="Calibri"/>
      <family val="2"/>
      <scheme val="minor"/>
    </font>
    <font>
      <sz val="11"/>
      <color rgb="FFAC4F10"/>
      <name val="Calibri"/>
      <family val="2"/>
      <scheme val="minor"/>
    </font>
    <font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33" borderId="0" xfId="0" applyFill="1"/>
    <xf numFmtId="14" fontId="0" fillId="33" borderId="0" xfId="0" applyNumberFormat="1" applyFill="1"/>
    <xf numFmtId="0" fontId="19" fillId="33" borderId="0" xfId="0" applyFont="1" applyFill="1"/>
    <xf numFmtId="0" fontId="21" fillId="33" borderId="0" xfId="0" applyFont="1" applyFill="1"/>
    <xf numFmtId="0" fontId="20" fillId="33" borderId="0" xfId="0" applyFont="1" applyFill="1"/>
    <xf numFmtId="0" fontId="0" fillId="34" borderId="0" xfId="0" applyFill="1"/>
    <xf numFmtId="14" fontId="0" fillId="34" borderId="0" xfId="0" applyNumberFormat="1" applyFill="1"/>
    <xf numFmtId="0" fontId="21" fillId="34" borderId="0" xfId="0" applyFont="1" applyFill="1"/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600FF"/>
      </font>
      <fill>
        <patternFill>
          <bgColor rgb="FFCCCCFF"/>
        </patternFill>
      </fill>
    </dxf>
    <dxf>
      <font>
        <color theme="7" tint="-0.499984740745262"/>
      </font>
      <fill>
        <patternFill>
          <bgColor theme="7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600FF"/>
      </font>
      <fill>
        <patternFill>
          <bgColor rgb="FFCCCCFF"/>
        </patternFill>
      </fill>
    </dxf>
    <dxf>
      <font>
        <color theme="7" tint="-0.499984740745262"/>
      </font>
      <fill>
        <patternFill>
          <bgColor theme="7" tint="-0.2499465926084170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600FF"/>
      </font>
      <fill>
        <patternFill>
          <bgColor rgb="FFCCCCFF"/>
        </patternFill>
      </fill>
    </dxf>
    <dxf>
      <font>
        <color theme="7" tint="-0.499984740745262"/>
      </font>
      <fill>
        <patternFill>
          <bgColor theme="7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6600FF"/>
      </font>
      <fill>
        <patternFill>
          <bgColor rgb="FFCCCCFF"/>
        </patternFill>
      </fill>
    </dxf>
    <dxf>
      <font>
        <color theme="7" tint="-0.499984740745262"/>
      </font>
      <fill>
        <patternFill>
          <bgColor theme="7" tint="-0.24994659260841701"/>
        </patternFill>
      </fill>
    </dxf>
  </dxfs>
  <tableStyles count="0" defaultTableStyle="TableStyleMedium2" defaultPivotStyle="PivotStyleLight16"/>
  <colors>
    <mruColors>
      <color rgb="FFD29B00"/>
      <color rgb="FF7A007A"/>
      <color rgb="FFAC4F10"/>
      <color rgb="FF0808C4"/>
      <color rgb="FF007000"/>
      <color rgb="FF00668A"/>
      <color rgb="FF9A0000"/>
      <color rgb="FF740000"/>
      <color rgb="FF005C00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loughe, Laura W" id="{60F48971-8BFD-4523-9C5C-7B13EABD8B49}" userId="S::lploughe@nps.gov::1243ffa6-9081-4107-affb-7adba7711de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4" dT="2024-08-21T18:40:39.93" personId="{60F48971-8BFD-4523-9C5C-7B13EABD8B49}" id="{4DD835E2-652A-4DBE-986F-1F503FC0F1C9}">
    <text>hiring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44" dT="2024-08-21T18:40:39.93" personId="{60F48971-8BFD-4523-9C5C-7B13EABD8B49}" id="{7D1B6397-4C5D-4D15-89E4-F3605301496E}">
    <text>hiring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48" dT="2024-08-21T18:40:39.93" personId="{60F48971-8BFD-4523-9C5C-7B13EABD8B49}" id="{A963CFE7-E6F3-4C8F-8546-A6EFEDBD21B2}">
    <text>hiring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615B-4047-4584-B58C-0948EAC7B22F}">
  <dimension ref="A1:J64"/>
  <sheetViews>
    <sheetView tabSelected="1" workbookViewId="0">
      <selection activeCell="H3" sqref="H3"/>
    </sheetView>
  </sheetViews>
  <sheetFormatPr defaultRowHeight="14.4" x14ac:dyDescent="0.3"/>
  <cols>
    <col min="1" max="1" width="26.109375" bestFit="1" customWidth="1"/>
    <col min="2" max="3" width="11.44140625" bestFit="1" customWidth="1"/>
    <col min="4" max="4" width="53.88671875" customWidth="1"/>
    <col min="5" max="5" width="53.88671875" hidden="1" customWidth="1"/>
    <col min="6" max="7" width="33.44140625" hidden="1" customWidth="1"/>
    <col min="8" max="8" width="17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45337</v>
      </c>
      <c r="C2" s="1">
        <v>45364</v>
      </c>
      <c r="D2" s="2" t="s">
        <v>11</v>
      </c>
      <c r="E2" s="2" t="s">
        <v>12</v>
      </c>
      <c r="F2" t="s">
        <v>13</v>
      </c>
      <c r="G2" s="2" t="s">
        <v>14</v>
      </c>
      <c r="H2" t="s">
        <v>18</v>
      </c>
      <c r="I2">
        <v>30</v>
      </c>
    </row>
    <row r="3" spans="1:10" s="5" customFormat="1" x14ac:dyDescent="0.3">
      <c r="A3" s="5" t="s">
        <v>10</v>
      </c>
      <c r="B3" s="6">
        <v>45337</v>
      </c>
      <c r="C3" s="6">
        <v>45364</v>
      </c>
      <c r="D3" s="7" t="s">
        <v>16</v>
      </c>
      <c r="E3" s="7" t="s">
        <v>17</v>
      </c>
      <c r="F3" s="5" t="s">
        <v>13</v>
      </c>
      <c r="G3" s="7" t="s">
        <v>14</v>
      </c>
      <c r="H3" s="5" t="s">
        <v>18</v>
      </c>
      <c r="I3" s="5">
        <v>30</v>
      </c>
    </row>
    <row r="4" spans="1:10" x14ac:dyDescent="0.3">
      <c r="A4" t="s">
        <v>10</v>
      </c>
      <c r="B4" s="1">
        <v>45364</v>
      </c>
      <c r="C4" s="1">
        <v>45430</v>
      </c>
      <c r="D4" s="2" t="s">
        <v>19</v>
      </c>
      <c r="E4" s="2" t="s">
        <v>20</v>
      </c>
      <c r="F4" t="s">
        <v>13</v>
      </c>
      <c r="G4" s="2" t="s">
        <v>14</v>
      </c>
      <c r="H4" t="s">
        <v>18</v>
      </c>
      <c r="I4">
        <v>10</v>
      </c>
    </row>
    <row r="5" spans="1:10" x14ac:dyDescent="0.3">
      <c r="A5" t="s">
        <v>10</v>
      </c>
      <c r="B5" s="1">
        <v>45453</v>
      </c>
      <c r="C5" s="1">
        <v>45527</v>
      </c>
      <c r="D5" s="2" t="s">
        <v>21</v>
      </c>
      <c r="E5" s="2" t="s">
        <v>20</v>
      </c>
      <c r="F5" t="s">
        <v>13</v>
      </c>
      <c r="G5" s="2" t="s">
        <v>14</v>
      </c>
      <c r="H5" t="s">
        <v>18</v>
      </c>
      <c r="I5">
        <v>10</v>
      </c>
    </row>
    <row r="6" spans="1:10" x14ac:dyDescent="0.3">
      <c r="A6" t="s">
        <v>10</v>
      </c>
      <c r="B6" s="1">
        <v>45544</v>
      </c>
      <c r="C6" s="1">
        <v>45596</v>
      </c>
      <c r="D6" s="2" t="s">
        <v>22</v>
      </c>
      <c r="E6" s="2" t="s">
        <v>20</v>
      </c>
      <c r="F6" t="s">
        <v>13</v>
      </c>
      <c r="G6" s="2" t="s">
        <v>14</v>
      </c>
      <c r="H6" t="s">
        <v>18</v>
      </c>
      <c r="I6">
        <v>10</v>
      </c>
    </row>
    <row r="7" spans="1:10" x14ac:dyDescent="0.3">
      <c r="A7" t="s">
        <v>10</v>
      </c>
      <c r="B7" s="1">
        <v>45635</v>
      </c>
      <c r="C7" s="1">
        <v>45716</v>
      </c>
      <c r="D7" s="2" t="s">
        <v>23</v>
      </c>
      <c r="E7" s="2" t="s">
        <v>20</v>
      </c>
      <c r="F7" t="s">
        <v>13</v>
      </c>
      <c r="G7" s="2" t="s">
        <v>14</v>
      </c>
      <c r="H7" t="s">
        <v>18</v>
      </c>
      <c r="I7">
        <v>10</v>
      </c>
    </row>
    <row r="8" spans="1:10" x14ac:dyDescent="0.3">
      <c r="A8" t="s">
        <v>10</v>
      </c>
      <c r="B8" s="1">
        <v>45522</v>
      </c>
      <c r="C8" s="1">
        <v>45553</v>
      </c>
      <c r="D8" s="2" t="s">
        <v>24</v>
      </c>
      <c r="E8" s="2" t="s">
        <v>25</v>
      </c>
      <c r="F8" t="s">
        <v>13</v>
      </c>
      <c r="G8" s="2" t="s">
        <v>14</v>
      </c>
      <c r="H8" t="s">
        <v>26</v>
      </c>
      <c r="J8" t="s">
        <v>27</v>
      </c>
    </row>
    <row r="9" spans="1:10" x14ac:dyDescent="0.3">
      <c r="A9" t="s">
        <v>10</v>
      </c>
      <c r="B9" s="1">
        <v>45619</v>
      </c>
      <c r="C9" s="1">
        <v>45649</v>
      </c>
      <c r="D9" s="2" t="s">
        <v>28</v>
      </c>
      <c r="E9" s="2" t="s">
        <v>25</v>
      </c>
      <c r="F9" t="s">
        <v>13</v>
      </c>
      <c r="G9" s="2" t="s">
        <v>14</v>
      </c>
      <c r="H9" t="s">
        <v>26</v>
      </c>
      <c r="J9" t="s">
        <v>27</v>
      </c>
    </row>
    <row r="10" spans="1:10" x14ac:dyDescent="0.3">
      <c r="A10" t="s">
        <v>10</v>
      </c>
      <c r="B10" s="1">
        <v>45716</v>
      </c>
      <c r="C10" s="1">
        <v>45747</v>
      </c>
      <c r="D10" s="2" t="s">
        <v>29</v>
      </c>
      <c r="E10" s="2" t="s">
        <v>25</v>
      </c>
      <c r="F10" t="s">
        <v>13</v>
      </c>
      <c r="G10" s="2" t="s">
        <v>14</v>
      </c>
      <c r="H10" t="s">
        <v>26</v>
      </c>
      <c r="J10" t="s">
        <v>27</v>
      </c>
    </row>
    <row r="11" spans="1:10" x14ac:dyDescent="0.3">
      <c r="A11" t="s">
        <v>10</v>
      </c>
      <c r="B11" s="1">
        <v>45805</v>
      </c>
      <c r="C11" s="1">
        <v>45836</v>
      </c>
      <c r="D11" s="2" t="s">
        <v>30</v>
      </c>
      <c r="E11" s="2" t="s">
        <v>25</v>
      </c>
      <c r="F11" t="s">
        <v>13</v>
      </c>
      <c r="G11" s="2" t="s">
        <v>14</v>
      </c>
      <c r="H11" t="s">
        <v>26</v>
      </c>
      <c r="J11" t="s">
        <v>27</v>
      </c>
    </row>
    <row r="12" spans="1:10" x14ac:dyDescent="0.3">
      <c r="A12" t="s">
        <v>10</v>
      </c>
      <c r="B12" s="1">
        <v>45373</v>
      </c>
      <c r="C12" s="1">
        <v>45723</v>
      </c>
      <c r="D12" s="4" t="s">
        <v>31</v>
      </c>
      <c r="E12" s="4" t="s">
        <v>20</v>
      </c>
      <c r="F12" t="s">
        <v>32</v>
      </c>
      <c r="G12" s="4" t="s">
        <v>33</v>
      </c>
      <c r="H12" t="s">
        <v>18</v>
      </c>
      <c r="I12">
        <f>C12-B12</f>
        <v>350</v>
      </c>
    </row>
    <row r="13" spans="1:10" x14ac:dyDescent="0.3">
      <c r="A13" t="s">
        <v>10</v>
      </c>
      <c r="B13" s="1">
        <v>45373</v>
      </c>
      <c r="C13" s="1">
        <v>45723</v>
      </c>
      <c r="D13" s="4" t="s">
        <v>105</v>
      </c>
      <c r="E13" s="4" t="s">
        <v>12</v>
      </c>
      <c r="F13" t="s">
        <v>32</v>
      </c>
      <c r="G13" s="4" t="s">
        <v>33</v>
      </c>
      <c r="H13" t="s">
        <v>37</v>
      </c>
      <c r="I13" t="e">
        <f>#REF!-B13</f>
        <v>#REF!</v>
      </c>
    </row>
    <row r="14" spans="1:10" x14ac:dyDescent="0.3">
      <c r="A14" t="s">
        <v>10</v>
      </c>
      <c r="B14" s="1">
        <v>45724</v>
      </c>
      <c r="C14" s="1">
        <v>45762</v>
      </c>
      <c r="D14" s="4" t="s">
        <v>35</v>
      </c>
      <c r="E14" s="4" t="s">
        <v>36</v>
      </c>
      <c r="F14" t="s">
        <v>32</v>
      </c>
      <c r="G14" s="4" t="s">
        <v>33</v>
      </c>
      <c r="H14" t="s">
        <v>104</v>
      </c>
      <c r="I14">
        <v>30</v>
      </c>
      <c r="J14" t="s">
        <v>38</v>
      </c>
    </row>
    <row r="15" spans="1:10" x14ac:dyDescent="0.3">
      <c r="A15" t="s">
        <v>10</v>
      </c>
      <c r="B15" s="1">
        <v>45724</v>
      </c>
      <c r="C15" s="1">
        <v>45762</v>
      </c>
      <c r="D15" s="4" t="s">
        <v>39</v>
      </c>
      <c r="E15" s="4" t="s">
        <v>40</v>
      </c>
      <c r="F15" t="s">
        <v>32</v>
      </c>
      <c r="G15" s="4" t="s">
        <v>33</v>
      </c>
      <c r="H15" t="s">
        <v>104</v>
      </c>
      <c r="I15">
        <v>30</v>
      </c>
      <c r="J15" t="s">
        <v>38</v>
      </c>
    </row>
    <row r="16" spans="1:10" x14ac:dyDescent="0.3">
      <c r="A16" t="s">
        <v>10</v>
      </c>
      <c r="B16" s="1">
        <v>45839</v>
      </c>
      <c r="C16" s="1">
        <v>45930</v>
      </c>
      <c r="D16" s="4" t="s">
        <v>41</v>
      </c>
      <c r="E16" s="4" t="s">
        <v>40</v>
      </c>
      <c r="F16" t="s">
        <v>32</v>
      </c>
      <c r="G16" s="4" t="s">
        <v>33</v>
      </c>
      <c r="H16" t="s">
        <v>104</v>
      </c>
      <c r="I16">
        <v>30</v>
      </c>
    </row>
    <row r="17" spans="1:10" x14ac:dyDescent="0.3">
      <c r="A17" t="s">
        <v>10</v>
      </c>
      <c r="B17" s="1">
        <v>45930</v>
      </c>
      <c r="C17" s="1">
        <v>45945</v>
      </c>
      <c r="D17" s="4" t="s">
        <v>42</v>
      </c>
      <c r="E17" s="4" t="s">
        <v>40</v>
      </c>
      <c r="F17" t="s">
        <v>32</v>
      </c>
      <c r="G17" s="4" t="s">
        <v>33</v>
      </c>
      <c r="H17" t="s">
        <v>104</v>
      </c>
      <c r="I17">
        <v>10</v>
      </c>
    </row>
    <row r="18" spans="1:10" x14ac:dyDescent="0.3">
      <c r="A18" t="s">
        <v>10</v>
      </c>
      <c r="B18" s="1">
        <v>45945</v>
      </c>
      <c r="C18" s="1">
        <v>45976</v>
      </c>
      <c r="D18" s="3" t="s">
        <v>43</v>
      </c>
      <c r="E18" s="3" t="s">
        <v>40</v>
      </c>
      <c r="F18" t="s">
        <v>44</v>
      </c>
      <c r="G18" t="s">
        <v>45</v>
      </c>
      <c r="H18" t="s">
        <v>104</v>
      </c>
      <c r="I18">
        <v>30</v>
      </c>
    </row>
    <row r="19" spans="1:10" s="5" customFormat="1" x14ac:dyDescent="0.3">
      <c r="A19" s="5" t="s">
        <v>10</v>
      </c>
      <c r="B19" s="6">
        <v>45945</v>
      </c>
      <c r="C19" s="6">
        <v>46157</v>
      </c>
      <c r="D19" s="9" t="s">
        <v>47</v>
      </c>
      <c r="E19" s="9" t="s">
        <v>48</v>
      </c>
      <c r="F19" s="5" t="s">
        <v>44</v>
      </c>
      <c r="G19" s="5" t="s">
        <v>45</v>
      </c>
      <c r="H19" s="5" t="s">
        <v>46</v>
      </c>
      <c r="I19" s="5">
        <v>180</v>
      </c>
    </row>
    <row r="20" spans="1:10" x14ac:dyDescent="0.3">
      <c r="A20" t="s">
        <v>49</v>
      </c>
      <c r="B20" s="1">
        <v>45352</v>
      </c>
      <c r="C20" s="1">
        <v>45382</v>
      </c>
      <c r="D20" s="2" t="s">
        <v>11</v>
      </c>
      <c r="E20" s="2" t="s">
        <v>12</v>
      </c>
      <c r="F20" t="s">
        <v>13</v>
      </c>
      <c r="G20" s="2" t="s">
        <v>14</v>
      </c>
      <c r="H20" t="s">
        <v>18</v>
      </c>
      <c r="I20">
        <v>30</v>
      </c>
    </row>
    <row r="21" spans="1:10" s="5" customFormat="1" x14ac:dyDescent="0.3">
      <c r="A21" s="5" t="s">
        <v>49</v>
      </c>
      <c r="B21" s="6">
        <v>45352</v>
      </c>
      <c r="C21" s="6">
        <v>45382</v>
      </c>
      <c r="D21" s="7" t="s">
        <v>16</v>
      </c>
      <c r="E21" s="7" t="s">
        <v>17</v>
      </c>
      <c r="F21" s="5" t="s">
        <v>13</v>
      </c>
      <c r="G21" s="7" t="s">
        <v>14</v>
      </c>
      <c r="H21" s="5" t="s">
        <v>18</v>
      </c>
      <c r="I21" s="5">
        <v>30</v>
      </c>
    </row>
    <row r="22" spans="1:10" x14ac:dyDescent="0.3">
      <c r="A22" t="s">
        <v>49</v>
      </c>
      <c r="B22" s="1">
        <v>45390</v>
      </c>
      <c r="C22" s="1">
        <v>45412</v>
      </c>
      <c r="D22" s="2" t="s">
        <v>19</v>
      </c>
      <c r="E22" s="2" t="s">
        <v>20</v>
      </c>
      <c r="F22" t="s">
        <v>13</v>
      </c>
      <c r="G22" s="2" t="s">
        <v>14</v>
      </c>
      <c r="H22" t="s">
        <v>18</v>
      </c>
      <c r="I22">
        <v>10</v>
      </c>
    </row>
    <row r="23" spans="1:10" x14ac:dyDescent="0.3">
      <c r="A23" t="s">
        <v>49</v>
      </c>
      <c r="B23" s="1">
        <v>45536</v>
      </c>
      <c r="C23" s="1">
        <v>45611</v>
      </c>
      <c r="D23" s="2" t="s">
        <v>22</v>
      </c>
      <c r="E23" s="2" t="s">
        <v>20</v>
      </c>
      <c r="F23" t="s">
        <v>13</v>
      </c>
      <c r="G23" s="2" t="s">
        <v>14</v>
      </c>
      <c r="H23" t="s">
        <v>18</v>
      </c>
      <c r="I23">
        <v>10</v>
      </c>
    </row>
    <row r="24" spans="1:10" x14ac:dyDescent="0.3">
      <c r="A24" t="s">
        <v>49</v>
      </c>
      <c r="B24" s="1">
        <v>45474</v>
      </c>
      <c r="C24" s="1">
        <v>45534</v>
      </c>
      <c r="D24" s="2" t="s">
        <v>24</v>
      </c>
      <c r="E24" s="2" t="s">
        <v>50</v>
      </c>
      <c r="F24" t="s">
        <v>13</v>
      </c>
      <c r="G24" s="2" t="s">
        <v>14</v>
      </c>
      <c r="H24" t="s">
        <v>26</v>
      </c>
      <c r="I24">
        <v>30</v>
      </c>
    </row>
    <row r="25" spans="1:10" x14ac:dyDescent="0.3">
      <c r="A25" t="s">
        <v>49</v>
      </c>
      <c r="B25" s="1">
        <v>45689</v>
      </c>
      <c r="C25" s="1">
        <v>45750</v>
      </c>
      <c r="D25" s="2" t="s">
        <v>29</v>
      </c>
      <c r="E25" s="2" t="s">
        <v>50</v>
      </c>
      <c r="F25" t="s">
        <v>13</v>
      </c>
      <c r="G25" s="2" t="s">
        <v>14</v>
      </c>
      <c r="H25" t="s">
        <v>26</v>
      </c>
      <c r="I25">
        <v>30</v>
      </c>
    </row>
    <row r="26" spans="1:10" x14ac:dyDescent="0.3">
      <c r="A26" t="s">
        <v>49</v>
      </c>
      <c r="B26" s="1">
        <v>45404</v>
      </c>
      <c r="C26" s="1">
        <v>45422</v>
      </c>
      <c r="D26" s="4" t="s">
        <v>51</v>
      </c>
      <c r="E26" s="2" t="s">
        <v>12</v>
      </c>
      <c r="F26" t="s">
        <v>32</v>
      </c>
      <c r="G26" s="4" t="s">
        <v>33</v>
      </c>
      <c r="H26" t="s">
        <v>18</v>
      </c>
      <c r="I26">
        <f>C26-B26</f>
        <v>18</v>
      </c>
    </row>
    <row r="27" spans="1:10" x14ac:dyDescent="0.3">
      <c r="A27" t="s">
        <v>49</v>
      </c>
      <c r="B27" s="1">
        <v>45557</v>
      </c>
      <c r="C27" s="1">
        <v>45626</v>
      </c>
      <c r="D27" s="4" t="s">
        <v>52</v>
      </c>
      <c r="E27" s="2" t="s">
        <v>12</v>
      </c>
      <c r="F27" t="s">
        <v>32</v>
      </c>
      <c r="G27" s="4" t="s">
        <v>33</v>
      </c>
      <c r="H27" t="s">
        <v>18</v>
      </c>
      <c r="I27">
        <f>C27-B27</f>
        <v>69</v>
      </c>
    </row>
    <row r="28" spans="1:10" x14ac:dyDescent="0.3">
      <c r="A28" t="s">
        <v>49</v>
      </c>
      <c r="B28" s="1">
        <v>45750</v>
      </c>
      <c r="C28" s="1">
        <v>45808</v>
      </c>
      <c r="D28" s="4" t="s">
        <v>53</v>
      </c>
      <c r="E28" s="2" t="s">
        <v>40</v>
      </c>
      <c r="F28" t="s">
        <v>32</v>
      </c>
      <c r="G28" s="4" t="s">
        <v>33</v>
      </c>
      <c r="H28" t="s">
        <v>18</v>
      </c>
      <c r="I28">
        <v>30</v>
      </c>
    </row>
    <row r="29" spans="1:10" x14ac:dyDescent="0.3">
      <c r="A29" t="s">
        <v>49</v>
      </c>
      <c r="B29" s="1">
        <v>45808</v>
      </c>
      <c r="C29" s="1">
        <v>45823</v>
      </c>
      <c r="D29" s="4" t="s">
        <v>42</v>
      </c>
      <c r="E29" s="2" t="s">
        <v>40</v>
      </c>
      <c r="F29" t="s">
        <v>32</v>
      </c>
      <c r="G29" s="4" t="s">
        <v>33</v>
      </c>
      <c r="H29" t="s">
        <v>18</v>
      </c>
      <c r="I29">
        <v>10</v>
      </c>
    </row>
    <row r="30" spans="1:10" x14ac:dyDescent="0.3">
      <c r="A30" t="s">
        <v>49</v>
      </c>
      <c r="B30" s="1">
        <v>45823</v>
      </c>
      <c r="C30" s="1">
        <v>45838</v>
      </c>
      <c r="D30" s="3" t="s">
        <v>43</v>
      </c>
      <c r="E30" s="2" t="s">
        <v>40</v>
      </c>
      <c r="F30" t="s">
        <v>44</v>
      </c>
      <c r="G30" t="s">
        <v>45</v>
      </c>
      <c r="H30" t="s">
        <v>18</v>
      </c>
      <c r="I30">
        <v>30</v>
      </c>
    </row>
    <row r="31" spans="1:10" x14ac:dyDescent="0.3">
      <c r="A31" t="s">
        <v>49</v>
      </c>
      <c r="B31" s="1">
        <v>45838</v>
      </c>
      <c r="C31" s="1">
        <v>46022</v>
      </c>
      <c r="D31" s="3" t="s">
        <v>47</v>
      </c>
      <c r="E31" s="2" t="s">
        <v>40</v>
      </c>
      <c r="F31" t="s">
        <v>44</v>
      </c>
      <c r="G31" t="s">
        <v>45</v>
      </c>
      <c r="H31" t="s">
        <v>18</v>
      </c>
      <c r="I31">
        <v>180</v>
      </c>
      <c r="J31" t="s">
        <v>54</v>
      </c>
    </row>
    <row r="32" spans="1:10" x14ac:dyDescent="0.3">
      <c r="A32" t="s">
        <v>55</v>
      </c>
      <c r="B32" s="1">
        <v>45348</v>
      </c>
      <c r="C32" s="1">
        <v>45618</v>
      </c>
      <c r="D32" s="2" t="s">
        <v>56</v>
      </c>
      <c r="E32" s="2" t="s">
        <v>12</v>
      </c>
      <c r="F32" t="s">
        <v>13</v>
      </c>
      <c r="G32" s="2" t="s">
        <v>14</v>
      </c>
      <c r="H32" t="s">
        <v>18</v>
      </c>
      <c r="I32">
        <v>10</v>
      </c>
    </row>
    <row r="33" spans="1:9" x14ac:dyDescent="0.3">
      <c r="A33" t="s">
        <v>55</v>
      </c>
      <c r="B33" s="1">
        <v>45348</v>
      </c>
      <c r="C33" s="1">
        <v>45626</v>
      </c>
      <c r="D33" s="4" t="s">
        <v>57</v>
      </c>
      <c r="E33" s="2" t="s">
        <v>12</v>
      </c>
      <c r="F33" t="s">
        <v>32</v>
      </c>
      <c r="G33" s="4" t="s">
        <v>33</v>
      </c>
      <c r="H33" t="s">
        <v>103</v>
      </c>
      <c r="I33">
        <f>C33-B33</f>
        <v>278</v>
      </c>
    </row>
    <row r="34" spans="1:9" s="10" customFormat="1" x14ac:dyDescent="0.3">
      <c r="A34" s="10" t="s">
        <v>55</v>
      </c>
      <c r="B34" s="11">
        <v>45348</v>
      </c>
      <c r="C34" s="11">
        <v>45626</v>
      </c>
      <c r="D34" s="12" t="s">
        <v>58</v>
      </c>
      <c r="E34" s="13" t="s">
        <v>20</v>
      </c>
      <c r="F34" s="10" t="s">
        <v>32</v>
      </c>
      <c r="G34" s="12" t="s">
        <v>33</v>
      </c>
      <c r="H34" s="10" t="s">
        <v>18</v>
      </c>
      <c r="I34" s="10">
        <f>C34-B34</f>
        <v>278</v>
      </c>
    </row>
    <row r="35" spans="1:9" s="5" customFormat="1" x14ac:dyDescent="0.3">
      <c r="A35" s="5" t="s">
        <v>55</v>
      </c>
      <c r="B35" s="6">
        <v>45627</v>
      </c>
      <c r="C35" s="6">
        <v>45717</v>
      </c>
      <c r="D35" s="8" t="s">
        <v>59</v>
      </c>
      <c r="E35" s="7" t="s">
        <v>60</v>
      </c>
      <c r="F35" s="5" t="s">
        <v>32</v>
      </c>
      <c r="G35" s="8" t="s">
        <v>33</v>
      </c>
      <c r="H35" s="5" t="s">
        <v>18</v>
      </c>
      <c r="I35" s="5">
        <f>C35-B35</f>
        <v>90</v>
      </c>
    </row>
    <row r="36" spans="1:9" x14ac:dyDescent="0.3">
      <c r="A36" t="s">
        <v>55</v>
      </c>
      <c r="B36" s="1">
        <v>45627</v>
      </c>
      <c r="C36" s="1">
        <v>45717</v>
      </c>
      <c r="D36" s="4" t="s">
        <v>61</v>
      </c>
      <c r="E36" s="2" t="s">
        <v>40</v>
      </c>
      <c r="F36" t="s">
        <v>32</v>
      </c>
      <c r="G36" s="4" t="s">
        <v>33</v>
      </c>
      <c r="H36" t="s">
        <v>104</v>
      </c>
      <c r="I36">
        <v>30</v>
      </c>
    </row>
    <row r="37" spans="1:9" x14ac:dyDescent="0.3">
      <c r="A37" t="s">
        <v>55</v>
      </c>
      <c r="B37" s="1">
        <v>45627</v>
      </c>
      <c r="C37" s="1">
        <v>45717</v>
      </c>
      <c r="D37" s="4" t="s">
        <v>35</v>
      </c>
      <c r="E37" s="2" t="s">
        <v>36</v>
      </c>
      <c r="F37" t="s">
        <v>32</v>
      </c>
      <c r="G37" s="4" t="s">
        <v>33</v>
      </c>
      <c r="H37" t="s">
        <v>104</v>
      </c>
      <c r="I37">
        <v>30</v>
      </c>
    </row>
    <row r="38" spans="1:9" s="5" customFormat="1" x14ac:dyDescent="0.3">
      <c r="A38" s="5" t="s">
        <v>55</v>
      </c>
      <c r="B38" s="6">
        <v>45627</v>
      </c>
      <c r="C38" s="6">
        <v>45717</v>
      </c>
      <c r="D38" s="8" t="s">
        <v>62</v>
      </c>
      <c r="E38" s="7" t="s">
        <v>17</v>
      </c>
      <c r="F38" s="5" t="s">
        <v>32</v>
      </c>
      <c r="G38" s="8" t="s">
        <v>33</v>
      </c>
      <c r="H38" s="5" t="s">
        <v>18</v>
      </c>
      <c r="I38" s="5">
        <v>30</v>
      </c>
    </row>
    <row r="39" spans="1:9" x14ac:dyDescent="0.3">
      <c r="A39" t="s">
        <v>55</v>
      </c>
      <c r="B39" s="1">
        <v>45717</v>
      </c>
      <c r="C39" s="1">
        <v>45747</v>
      </c>
      <c r="D39" s="4" t="s">
        <v>42</v>
      </c>
      <c r="E39" s="2" t="s">
        <v>40</v>
      </c>
      <c r="F39" t="s">
        <v>32</v>
      </c>
      <c r="G39" s="4" t="s">
        <v>63</v>
      </c>
      <c r="H39" t="s">
        <v>104</v>
      </c>
    </row>
    <row r="40" spans="1:9" x14ac:dyDescent="0.3">
      <c r="A40" t="s">
        <v>55</v>
      </c>
      <c r="B40" s="1">
        <v>45748</v>
      </c>
      <c r="C40" s="1">
        <v>45778</v>
      </c>
      <c r="D40" s="3" t="s">
        <v>43</v>
      </c>
      <c r="E40" s="2" t="s">
        <v>40</v>
      </c>
      <c r="F40" t="s">
        <v>44</v>
      </c>
      <c r="G40" t="s">
        <v>45</v>
      </c>
      <c r="H40" t="s">
        <v>104</v>
      </c>
      <c r="I40">
        <v>30</v>
      </c>
    </row>
    <row r="41" spans="1:9" s="5" customFormat="1" x14ac:dyDescent="0.3">
      <c r="A41" s="5" t="s">
        <v>55</v>
      </c>
      <c r="B41" s="6">
        <v>45748</v>
      </c>
      <c r="C41" s="6">
        <v>45961</v>
      </c>
      <c r="D41" s="9" t="s">
        <v>47</v>
      </c>
      <c r="E41" s="7" t="s">
        <v>48</v>
      </c>
      <c r="F41" s="5" t="s">
        <v>44</v>
      </c>
      <c r="G41" s="5" t="s">
        <v>45</v>
      </c>
      <c r="H41" s="5" t="s">
        <v>46</v>
      </c>
      <c r="I41" s="5">
        <v>180</v>
      </c>
    </row>
    <row r="42" spans="1:9" x14ac:dyDescent="0.3">
      <c r="A42" t="s">
        <v>64</v>
      </c>
      <c r="B42" s="1">
        <v>45292</v>
      </c>
      <c r="C42" s="1">
        <v>45322</v>
      </c>
      <c r="D42" s="2" t="s">
        <v>65</v>
      </c>
      <c r="E42" s="2" t="s">
        <v>25</v>
      </c>
      <c r="F42" t="s">
        <v>13</v>
      </c>
      <c r="G42" s="2" t="s">
        <v>14</v>
      </c>
      <c r="H42" t="s">
        <v>18</v>
      </c>
      <c r="I42">
        <v>10</v>
      </c>
    </row>
    <row r="43" spans="1:9" x14ac:dyDescent="0.3">
      <c r="A43" t="s">
        <v>64</v>
      </c>
      <c r="B43" s="1">
        <v>45366</v>
      </c>
      <c r="C43" s="1">
        <v>45382</v>
      </c>
      <c r="D43" s="2" t="s">
        <v>66</v>
      </c>
      <c r="E43" s="2" t="s">
        <v>25</v>
      </c>
      <c r="F43" t="s">
        <v>13</v>
      </c>
      <c r="G43" s="2" t="s">
        <v>14</v>
      </c>
      <c r="H43" t="s">
        <v>18</v>
      </c>
      <c r="I43">
        <v>10</v>
      </c>
    </row>
    <row r="44" spans="1:9" x14ac:dyDescent="0.3">
      <c r="A44" t="s">
        <v>64</v>
      </c>
      <c r="B44" s="1">
        <v>45397</v>
      </c>
      <c r="C44" s="1">
        <v>45413</v>
      </c>
      <c r="D44" s="2" t="s">
        <v>11</v>
      </c>
      <c r="E44" s="2" t="s">
        <v>67</v>
      </c>
      <c r="F44" t="s">
        <v>13</v>
      </c>
      <c r="G44" s="2" t="s">
        <v>14</v>
      </c>
      <c r="H44" t="s">
        <v>18</v>
      </c>
      <c r="I44">
        <v>30</v>
      </c>
    </row>
    <row r="45" spans="1:9" x14ac:dyDescent="0.3">
      <c r="A45" t="s">
        <v>64</v>
      </c>
      <c r="B45" s="1">
        <v>45413</v>
      </c>
      <c r="C45" s="1">
        <v>45419</v>
      </c>
      <c r="D45" s="2" t="s">
        <v>68</v>
      </c>
      <c r="E45" s="2" t="s">
        <v>25</v>
      </c>
      <c r="F45" t="s">
        <v>13</v>
      </c>
      <c r="G45" s="2" t="s">
        <v>14</v>
      </c>
      <c r="H45" s="2" t="s">
        <v>18</v>
      </c>
    </row>
    <row r="46" spans="1:9" x14ac:dyDescent="0.3">
      <c r="A46" t="s">
        <v>64</v>
      </c>
      <c r="B46" s="1">
        <v>45421</v>
      </c>
      <c r="C46" s="1">
        <v>45589</v>
      </c>
      <c r="D46" s="2" t="s">
        <v>69</v>
      </c>
      <c r="E46" s="2" t="s">
        <v>20</v>
      </c>
      <c r="F46" t="s">
        <v>13</v>
      </c>
      <c r="G46" s="2" t="s">
        <v>14</v>
      </c>
      <c r="H46" s="2" t="s">
        <v>18</v>
      </c>
    </row>
    <row r="47" spans="1:9" x14ac:dyDescent="0.3">
      <c r="A47" t="s">
        <v>64</v>
      </c>
      <c r="B47" s="1">
        <v>45421</v>
      </c>
      <c r="C47" s="1">
        <v>45626</v>
      </c>
      <c r="D47" s="4" t="s">
        <v>70</v>
      </c>
      <c r="E47" s="2" t="s">
        <v>50</v>
      </c>
      <c r="F47" t="s">
        <v>32</v>
      </c>
      <c r="G47" s="4" t="s">
        <v>33</v>
      </c>
      <c r="H47" t="s">
        <v>18</v>
      </c>
    </row>
    <row r="48" spans="1:9" x14ac:dyDescent="0.3">
      <c r="A48" t="s">
        <v>64</v>
      </c>
      <c r="B48" s="1">
        <v>45421</v>
      </c>
      <c r="C48" s="1">
        <v>45626</v>
      </c>
      <c r="D48" s="4" t="s">
        <v>71</v>
      </c>
      <c r="E48" s="2" t="s">
        <v>20</v>
      </c>
      <c r="F48" t="s">
        <v>32</v>
      </c>
      <c r="G48" s="4" t="s">
        <v>33</v>
      </c>
      <c r="H48" t="s">
        <v>18</v>
      </c>
    </row>
    <row r="49" spans="1:9" x14ac:dyDescent="0.3">
      <c r="A49" t="s">
        <v>64</v>
      </c>
      <c r="B49" s="1">
        <v>45627</v>
      </c>
      <c r="C49" s="1">
        <v>45716</v>
      </c>
      <c r="D49" s="4" t="s">
        <v>72</v>
      </c>
      <c r="E49" s="2" t="s">
        <v>50</v>
      </c>
      <c r="F49" t="s">
        <v>32</v>
      </c>
      <c r="G49" s="4" t="s">
        <v>33</v>
      </c>
      <c r="H49" t="s">
        <v>18</v>
      </c>
    </row>
    <row r="50" spans="1:9" x14ac:dyDescent="0.3">
      <c r="A50" t="s">
        <v>64</v>
      </c>
      <c r="B50" s="1">
        <v>45717</v>
      </c>
      <c r="C50" s="1">
        <v>45747</v>
      </c>
      <c r="D50" s="4" t="s">
        <v>42</v>
      </c>
      <c r="E50" s="2" t="s">
        <v>40</v>
      </c>
      <c r="F50" t="s">
        <v>32</v>
      </c>
      <c r="G50" s="4" t="s">
        <v>63</v>
      </c>
      <c r="H50" t="s">
        <v>18</v>
      </c>
    </row>
    <row r="51" spans="1:9" s="5" customFormat="1" x14ac:dyDescent="0.3">
      <c r="A51" s="5" t="s">
        <v>64</v>
      </c>
      <c r="B51" s="6">
        <v>45444</v>
      </c>
      <c r="C51" s="6">
        <v>45657</v>
      </c>
      <c r="D51" s="7" t="s">
        <v>16</v>
      </c>
      <c r="E51" s="7" t="s">
        <v>17</v>
      </c>
      <c r="F51" s="5" t="s">
        <v>32</v>
      </c>
      <c r="G51" s="8" t="s">
        <v>63</v>
      </c>
      <c r="H51" s="5" t="s">
        <v>18</v>
      </c>
    </row>
    <row r="52" spans="1:9" x14ac:dyDescent="0.3">
      <c r="A52" t="s">
        <v>64</v>
      </c>
      <c r="B52" s="1">
        <v>45748</v>
      </c>
      <c r="C52" s="1">
        <v>45777</v>
      </c>
      <c r="D52" s="3" t="s">
        <v>43</v>
      </c>
      <c r="E52" s="2" t="s">
        <v>40</v>
      </c>
      <c r="F52" t="s">
        <v>44</v>
      </c>
      <c r="G52" t="s">
        <v>45</v>
      </c>
      <c r="H52" t="s">
        <v>18</v>
      </c>
    </row>
    <row r="53" spans="1:9" s="5" customFormat="1" x14ac:dyDescent="0.3">
      <c r="A53" s="5" t="s">
        <v>64</v>
      </c>
      <c r="B53" s="6">
        <v>45778</v>
      </c>
      <c r="C53" s="6">
        <v>46022</v>
      </c>
      <c r="D53" s="9" t="s">
        <v>47</v>
      </c>
      <c r="E53" s="7" t="s">
        <v>48</v>
      </c>
      <c r="F53" s="5" t="s">
        <v>44</v>
      </c>
      <c r="G53" s="5" t="s">
        <v>45</v>
      </c>
      <c r="H53" s="5" t="s">
        <v>18</v>
      </c>
    </row>
    <row r="54" spans="1:9" x14ac:dyDescent="0.3">
      <c r="A54" t="s">
        <v>73</v>
      </c>
      <c r="B54" s="1">
        <v>45626</v>
      </c>
      <c r="C54" s="1">
        <v>45688</v>
      </c>
      <c r="D54" s="2" t="s">
        <v>65</v>
      </c>
      <c r="E54" s="2" t="s">
        <v>74</v>
      </c>
      <c r="F54" t="s">
        <v>13</v>
      </c>
      <c r="G54" s="2" t="s">
        <v>14</v>
      </c>
      <c r="H54" t="s">
        <v>18</v>
      </c>
      <c r="I54">
        <v>10</v>
      </c>
    </row>
    <row r="55" spans="1:9" x14ac:dyDescent="0.3">
      <c r="A55" t="s">
        <v>73</v>
      </c>
      <c r="B55" s="1">
        <v>45641</v>
      </c>
      <c r="C55" s="1">
        <v>45688</v>
      </c>
      <c r="D55" s="2" t="s">
        <v>66</v>
      </c>
      <c r="E55" s="2" t="s">
        <v>75</v>
      </c>
      <c r="F55" t="s">
        <v>13</v>
      </c>
      <c r="G55" s="2" t="s">
        <v>14</v>
      </c>
      <c r="H55" t="s">
        <v>18</v>
      </c>
      <c r="I55">
        <v>10</v>
      </c>
    </row>
    <row r="56" spans="1:9" s="10" customFormat="1" x14ac:dyDescent="0.3">
      <c r="A56" s="10" t="s">
        <v>73</v>
      </c>
      <c r="B56" s="11">
        <v>45689</v>
      </c>
      <c r="C56" s="11">
        <v>45747</v>
      </c>
      <c r="D56" s="13" t="s">
        <v>11</v>
      </c>
      <c r="E56" s="13" t="s">
        <v>76</v>
      </c>
      <c r="F56" s="10" t="s">
        <v>13</v>
      </c>
      <c r="G56" s="13" t="s">
        <v>14</v>
      </c>
      <c r="H56" s="10" t="s">
        <v>18</v>
      </c>
      <c r="I56" s="10">
        <v>10</v>
      </c>
    </row>
    <row r="57" spans="1:9" x14ac:dyDescent="0.3">
      <c r="A57" t="s">
        <v>73</v>
      </c>
      <c r="B57" s="1">
        <v>45748</v>
      </c>
      <c r="C57" s="1">
        <v>45770</v>
      </c>
      <c r="D57" s="2" t="s">
        <v>68</v>
      </c>
      <c r="E57" s="2" t="s">
        <v>74</v>
      </c>
      <c r="F57" t="s">
        <v>13</v>
      </c>
      <c r="G57" s="2" t="s">
        <v>14</v>
      </c>
      <c r="H57" s="2" t="s">
        <v>18</v>
      </c>
    </row>
    <row r="58" spans="1:9" x14ac:dyDescent="0.3">
      <c r="A58" t="s">
        <v>73</v>
      </c>
      <c r="B58" s="1">
        <v>45772</v>
      </c>
      <c r="C58" s="1">
        <v>45838</v>
      </c>
      <c r="D58" s="2" t="s">
        <v>69</v>
      </c>
      <c r="E58" s="2" t="s">
        <v>50</v>
      </c>
      <c r="F58" t="s">
        <v>13</v>
      </c>
      <c r="G58" s="2" t="s">
        <v>14</v>
      </c>
      <c r="H58" s="2" t="s">
        <v>18</v>
      </c>
    </row>
    <row r="59" spans="1:9" s="10" customFormat="1" x14ac:dyDescent="0.3">
      <c r="A59" s="10" t="s">
        <v>73</v>
      </c>
      <c r="B59" s="11">
        <v>45839</v>
      </c>
      <c r="C59" s="11">
        <v>45930</v>
      </c>
      <c r="D59" s="12" t="s">
        <v>77</v>
      </c>
      <c r="E59" s="13" t="s">
        <v>78</v>
      </c>
      <c r="F59" s="10" t="s">
        <v>32</v>
      </c>
      <c r="G59" s="12" t="s">
        <v>33</v>
      </c>
      <c r="H59" s="10" t="s">
        <v>18</v>
      </c>
      <c r="I59" s="10">
        <f>C59-B59</f>
        <v>91</v>
      </c>
    </row>
    <row r="60" spans="1:9" x14ac:dyDescent="0.3">
      <c r="A60" t="s">
        <v>73</v>
      </c>
      <c r="B60" s="1">
        <v>45930</v>
      </c>
      <c r="C60" s="1">
        <v>45961</v>
      </c>
      <c r="D60" s="4" t="s">
        <v>79</v>
      </c>
      <c r="E60" s="2" t="s">
        <v>80</v>
      </c>
      <c r="F60" t="s">
        <v>32</v>
      </c>
      <c r="G60" s="4" t="s">
        <v>33</v>
      </c>
      <c r="H60" t="s">
        <v>18</v>
      </c>
      <c r="I60">
        <v>30</v>
      </c>
    </row>
    <row r="61" spans="1:9" x14ac:dyDescent="0.3">
      <c r="A61" t="s">
        <v>73</v>
      </c>
      <c r="B61" s="1">
        <v>45962</v>
      </c>
      <c r="C61" s="1">
        <v>45976</v>
      </c>
      <c r="D61" s="4" t="s">
        <v>81</v>
      </c>
      <c r="E61" s="2" t="s">
        <v>82</v>
      </c>
      <c r="F61" t="s">
        <v>32</v>
      </c>
      <c r="G61" s="4" t="s">
        <v>63</v>
      </c>
      <c r="H61" t="s">
        <v>18</v>
      </c>
    </row>
    <row r="62" spans="1:9" s="5" customFormat="1" x14ac:dyDescent="0.3">
      <c r="A62" s="5" t="s">
        <v>73</v>
      </c>
      <c r="B62" s="6">
        <v>45748</v>
      </c>
      <c r="C62" s="6">
        <v>45976</v>
      </c>
      <c r="D62" s="7" t="s">
        <v>16</v>
      </c>
      <c r="E62" s="7" t="s">
        <v>17</v>
      </c>
      <c r="F62" s="5" t="s">
        <v>32</v>
      </c>
      <c r="G62" s="8" t="s">
        <v>63</v>
      </c>
      <c r="H62" s="5" t="s">
        <v>18</v>
      </c>
    </row>
    <row r="63" spans="1:9" x14ac:dyDescent="0.3">
      <c r="A63" t="s">
        <v>73</v>
      </c>
      <c r="B63" s="1">
        <v>45976</v>
      </c>
      <c r="C63" s="1">
        <v>46006</v>
      </c>
      <c r="D63" s="3" t="s">
        <v>43</v>
      </c>
      <c r="E63" s="2" t="s">
        <v>40</v>
      </c>
      <c r="F63" t="s">
        <v>44</v>
      </c>
      <c r="G63" t="s">
        <v>45</v>
      </c>
      <c r="H63" t="s">
        <v>18</v>
      </c>
      <c r="I63">
        <v>30</v>
      </c>
    </row>
    <row r="64" spans="1:9" x14ac:dyDescent="0.3">
      <c r="A64" t="s">
        <v>73</v>
      </c>
      <c r="D64" s="3" t="s">
        <v>47</v>
      </c>
      <c r="E64" s="2" t="s">
        <v>83</v>
      </c>
      <c r="F64" t="s">
        <v>44</v>
      </c>
      <c r="G64" t="s">
        <v>45</v>
      </c>
      <c r="H64" t="s">
        <v>46</v>
      </c>
    </row>
  </sheetData>
  <conditionalFormatting sqref="H1:H1048576">
    <cfRule type="cellIs" dxfId="5" priority="1" operator="equal">
      <formula>"In Progress"</formula>
    </cfRule>
    <cfRule type="containsText" dxfId="4" priority="2" operator="containsText" text="Highly variable (Lab)">
      <formula>NOT(ISERROR(SEARCH("Highly variable (Lab)",H1)))</formula>
    </cfRule>
    <cfRule type="containsText" dxfId="3" priority="3" operator="containsText" text="Future steps">
      <formula>NOT(ISERROR(SEARCH("Future steps",H1)))</formula>
    </cfRule>
    <cfRule type="containsText" dxfId="2" priority="4" operator="containsText" text="Needs to be updated">
      <formula>NOT(ISERROR(SEARCH("Needs to be updated",H1)))</formula>
    </cfRule>
    <cfRule type="containsText" dxfId="1" priority="5" operator="containsText" text="Operational">
      <formula>NOT(ISERROR(SEARCH("Operational",H1)))</formula>
    </cfRule>
    <cfRule type="containsText" dxfId="0" priority="6" operator="containsText" text="Outstanding">
      <formula>NOT(ISERROR(SEARCH("Outstanding",H1)))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E0605-29E3-4B95-A518-7805F1B8DBC8}">
  <dimension ref="A1:J64"/>
  <sheetViews>
    <sheetView topLeftCell="A29" workbookViewId="0">
      <selection activeCell="H34" sqref="H34"/>
    </sheetView>
  </sheetViews>
  <sheetFormatPr defaultRowHeight="14.4" x14ac:dyDescent="0.3"/>
  <cols>
    <col min="1" max="1" width="26.109375" bestFit="1" customWidth="1"/>
    <col min="2" max="3" width="11.44140625" bestFit="1" customWidth="1"/>
    <col min="4" max="4" width="53.88671875" customWidth="1"/>
    <col min="5" max="5" width="53.88671875" hidden="1" customWidth="1"/>
    <col min="6" max="7" width="33.44140625" hidden="1" customWidth="1"/>
    <col min="8" max="8" width="17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s="1">
        <v>45337</v>
      </c>
      <c r="C2" s="1">
        <v>45364</v>
      </c>
      <c r="D2" s="2" t="s">
        <v>11</v>
      </c>
      <c r="E2" s="2" t="s">
        <v>12</v>
      </c>
      <c r="F2" t="s">
        <v>13</v>
      </c>
      <c r="G2" s="2" t="s">
        <v>14</v>
      </c>
      <c r="H2" t="s">
        <v>103</v>
      </c>
      <c r="I2">
        <v>30</v>
      </c>
    </row>
    <row r="3" spans="1:10" s="5" customFormat="1" x14ac:dyDescent="0.3">
      <c r="A3" s="5" t="s">
        <v>10</v>
      </c>
      <c r="B3" s="6">
        <v>45337</v>
      </c>
      <c r="C3" s="6">
        <v>45364</v>
      </c>
      <c r="D3" s="7" t="s">
        <v>16</v>
      </c>
      <c r="E3" s="7" t="s">
        <v>17</v>
      </c>
      <c r="F3" s="5" t="s">
        <v>13</v>
      </c>
      <c r="G3" s="7" t="s">
        <v>14</v>
      </c>
      <c r="H3" s="5" t="s">
        <v>18</v>
      </c>
      <c r="I3" s="5">
        <v>30</v>
      </c>
    </row>
    <row r="4" spans="1:10" x14ac:dyDescent="0.3">
      <c r="A4" t="s">
        <v>10</v>
      </c>
      <c r="B4" s="1">
        <v>45364</v>
      </c>
      <c r="C4" s="1">
        <v>45430</v>
      </c>
      <c r="D4" s="2" t="s">
        <v>19</v>
      </c>
      <c r="E4" s="2" t="s">
        <v>20</v>
      </c>
      <c r="F4" t="s">
        <v>13</v>
      </c>
      <c r="G4" s="2" t="s">
        <v>14</v>
      </c>
      <c r="H4" t="s">
        <v>18</v>
      </c>
      <c r="I4">
        <v>10</v>
      </c>
    </row>
    <row r="5" spans="1:10" x14ac:dyDescent="0.3">
      <c r="A5" t="s">
        <v>10</v>
      </c>
      <c r="B5" s="1">
        <v>45453</v>
      </c>
      <c r="C5" s="1">
        <v>45527</v>
      </c>
      <c r="D5" s="2" t="s">
        <v>21</v>
      </c>
      <c r="E5" s="2" t="s">
        <v>20</v>
      </c>
      <c r="F5" t="s">
        <v>13</v>
      </c>
      <c r="G5" s="2" t="s">
        <v>14</v>
      </c>
      <c r="H5" t="s">
        <v>18</v>
      </c>
      <c r="I5">
        <v>10</v>
      </c>
    </row>
    <row r="6" spans="1:10" x14ac:dyDescent="0.3">
      <c r="A6" t="s">
        <v>10</v>
      </c>
      <c r="B6" s="1">
        <v>45544</v>
      </c>
      <c r="C6" s="1">
        <v>45596</v>
      </c>
      <c r="D6" s="2" t="s">
        <v>22</v>
      </c>
      <c r="E6" s="2" t="s">
        <v>20</v>
      </c>
      <c r="F6" t="s">
        <v>13</v>
      </c>
      <c r="G6" s="2" t="s">
        <v>14</v>
      </c>
      <c r="H6" t="s">
        <v>18</v>
      </c>
      <c r="I6">
        <v>10</v>
      </c>
    </row>
    <row r="7" spans="1:10" x14ac:dyDescent="0.3">
      <c r="A7" t="s">
        <v>10</v>
      </c>
      <c r="B7" s="1">
        <v>45635</v>
      </c>
      <c r="C7" s="1">
        <v>45716</v>
      </c>
      <c r="D7" s="2" t="s">
        <v>23</v>
      </c>
      <c r="E7" s="2" t="s">
        <v>20</v>
      </c>
      <c r="F7" t="s">
        <v>13</v>
      </c>
      <c r="G7" s="2" t="s">
        <v>14</v>
      </c>
      <c r="H7" t="s">
        <v>18</v>
      </c>
      <c r="I7">
        <v>10</v>
      </c>
    </row>
    <row r="8" spans="1:10" x14ac:dyDescent="0.3">
      <c r="A8" t="s">
        <v>10</v>
      </c>
      <c r="B8" s="1">
        <v>45522</v>
      </c>
      <c r="C8" s="1">
        <v>45553</v>
      </c>
      <c r="D8" s="2" t="s">
        <v>24</v>
      </c>
      <c r="E8" s="2" t="s">
        <v>25</v>
      </c>
      <c r="F8" t="s">
        <v>13</v>
      </c>
      <c r="G8" s="2" t="s">
        <v>14</v>
      </c>
      <c r="H8" t="s">
        <v>26</v>
      </c>
      <c r="J8" t="s">
        <v>27</v>
      </c>
    </row>
    <row r="9" spans="1:10" x14ac:dyDescent="0.3">
      <c r="A9" t="s">
        <v>10</v>
      </c>
      <c r="B9" s="1">
        <v>45619</v>
      </c>
      <c r="C9" s="1">
        <v>45649</v>
      </c>
      <c r="D9" s="2" t="s">
        <v>28</v>
      </c>
      <c r="E9" s="2" t="s">
        <v>25</v>
      </c>
      <c r="F9" t="s">
        <v>13</v>
      </c>
      <c r="G9" s="2" t="s">
        <v>14</v>
      </c>
      <c r="H9" t="s">
        <v>26</v>
      </c>
      <c r="J9" t="s">
        <v>27</v>
      </c>
    </row>
    <row r="10" spans="1:10" x14ac:dyDescent="0.3">
      <c r="A10" t="s">
        <v>10</v>
      </c>
      <c r="B10" s="1">
        <v>45716</v>
      </c>
      <c r="C10" s="1">
        <v>45747</v>
      </c>
      <c r="D10" s="2" t="s">
        <v>29</v>
      </c>
      <c r="E10" s="2" t="s">
        <v>25</v>
      </c>
      <c r="F10" t="s">
        <v>13</v>
      </c>
      <c r="G10" s="2" t="s">
        <v>14</v>
      </c>
      <c r="H10" t="s">
        <v>26</v>
      </c>
      <c r="J10" t="s">
        <v>27</v>
      </c>
    </row>
    <row r="11" spans="1:10" x14ac:dyDescent="0.3">
      <c r="A11" t="s">
        <v>10</v>
      </c>
      <c r="B11" s="1">
        <v>45805</v>
      </c>
      <c r="C11" s="1">
        <v>45836</v>
      </c>
      <c r="D11" s="2" t="s">
        <v>30</v>
      </c>
      <c r="E11" s="2" t="s">
        <v>25</v>
      </c>
      <c r="F11" t="s">
        <v>13</v>
      </c>
      <c r="G11" s="2" t="s">
        <v>14</v>
      </c>
      <c r="H11" t="s">
        <v>26</v>
      </c>
      <c r="J11" t="s">
        <v>27</v>
      </c>
    </row>
    <row r="12" spans="1:10" x14ac:dyDescent="0.3">
      <c r="A12" t="s">
        <v>10</v>
      </c>
      <c r="B12" s="1">
        <v>45373</v>
      </c>
      <c r="C12" s="1">
        <v>45723</v>
      </c>
      <c r="D12" s="4" t="s">
        <v>31</v>
      </c>
      <c r="E12" s="4" t="s">
        <v>20</v>
      </c>
      <c r="F12" t="s">
        <v>32</v>
      </c>
      <c r="G12" s="4" t="s">
        <v>33</v>
      </c>
      <c r="H12" t="s">
        <v>18</v>
      </c>
      <c r="I12">
        <f>C12-B12</f>
        <v>350</v>
      </c>
    </row>
    <row r="13" spans="1:10" x14ac:dyDescent="0.3">
      <c r="A13" t="s">
        <v>10</v>
      </c>
      <c r="B13" s="1">
        <v>45373</v>
      </c>
      <c r="C13" s="1">
        <v>45723</v>
      </c>
      <c r="D13" s="4" t="s">
        <v>34</v>
      </c>
      <c r="E13" s="4" t="s">
        <v>12</v>
      </c>
      <c r="F13" t="s">
        <v>32</v>
      </c>
      <c r="G13" s="4" t="s">
        <v>33</v>
      </c>
      <c r="H13" t="s">
        <v>18</v>
      </c>
      <c r="I13" t="e">
        <f>#REF!-B13</f>
        <v>#REF!</v>
      </c>
    </row>
    <row r="14" spans="1:10" x14ac:dyDescent="0.3">
      <c r="A14" t="s">
        <v>10</v>
      </c>
      <c r="B14" s="1">
        <v>45724</v>
      </c>
      <c r="C14" s="1">
        <v>45762</v>
      </c>
      <c r="D14" s="4" t="s">
        <v>35</v>
      </c>
      <c r="E14" s="4" t="s">
        <v>36</v>
      </c>
      <c r="F14" t="s">
        <v>32</v>
      </c>
      <c r="G14" s="4" t="s">
        <v>33</v>
      </c>
      <c r="H14" t="s">
        <v>37</v>
      </c>
      <c r="I14">
        <v>30</v>
      </c>
      <c r="J14" t="s">
        <v>38</v>
      </c>
    </row>
    <row r="15" spans="1:10" x14ac:dyDescent="0.3">
      <c r="A15" t="s">
        <v>10</v>
      </c>
      <c r="B15" s="1">
        <v>45724</v>
      </c>
      <c r="C15" s="1">
        <v>45762</v>
      </c>
      <c r="D15" s="4" t="s">
        <v>39</v>
      </c>
      <c r="E15" s="4" t="s">
        <v>40</v>
      </c>
      <c r="F15" t="s">
        <v>32</v>
      </c>
      <c r="G15" s="4" t="s">
        <v>33</v>
      </c>
      <c r="H15" t="s">
        <v>37</v>
      </c>
      <c r="I15">
        <v>30</v>
      </c>
      <c r="J15" t="s">
        <v>38</v>
      </c>
    </row>
    <row r="16" spans="1:10" x14ac:dyDescent="0.3">
      <c r="A16" t="s">
        <v>10</v>
      </c>
      <c r="B16" s="1">
        <v>45839</v>
      </c>
      <c r="C16" s="1">
        <v>45930</v>
      </c>
      <c r="D16" s="4" t="s">
        <v>41</v>
      </c>
      <c r="E16" s="4" t="s">
        <v>40</v>
      </c>
      <c r="F16" t="s">
        <v>32</v>
      </c>
      <c r="G16" s="4" t="s">
        <v>33</v>
      </c>
      <c r="H16" t="s">
        <v>37</v>
      </c>
      <c r="I16">
        <v>30</v>
      </c>
    </row>
    <row r="17" spans="1:10" x14ac:dyDescent="0.3">
      <c r="A17" t="s">
        <v>10</v>
      </c>
      <c r="B17" s="1">
        <v>45930</v>
      </c>
      <c r="C17" s="1">
        <v>45945</v>
      </c>
      <c r="D17" s="4" t="s">
        <v>42</v>
      </c>
      <c r="E17" s="4" t="s">
        <v>40</v>
      </c>
      <c r="F17" t="s">
        <v>32</v>
      </c>
      <c r="G17" s="4" t="s">
        <v>33</v>
      </c>
      <c r="H17" t="s">
        <v>37</v>
      </c>
      <c r="I17">
        <v>10</v>
      </c>
    </row>
    <row r="18" spans="1:10" x14ac:dyDescent="0.3">
      <c r="A18" t="s">
        <v>10</v>
      </c>
      <c r="B18" s="1">
        <v>45945</v>
      </c>
      <c r="C18" s="1">
        <v>45976</v>
      </c>
      <c r="D18" s="3" t="s">
        <v>43</v>
      </c>
      <c r="E18" s="3" t="s">
        <v>40</v>
      </c>
      <c r="F18" t="s">
        <v>44</v>
      </c>
      <c r="G18" t="s">
        <v>45</v>
      </c>
      <c r="H18" t="s">
        <v>46</v>
      </c>
      <c r="I18">
        <v>30</v>
      </c>
    </row>
    <row r="19" spans="1:10" s="5" customFormat="1" x14ac:dyDescent="0.3">
      <c r="A19" s="5" t="s">
        <v>10</v>
      </c>
      <c r="B19" s="6">
        <v>45945</v>
      </c>
      <c r="C19" s="6">
        <v>46157</v>
      </c>
      <c r="D19" s="9" t="s">
        <v>47</v>
      </c>
      <c r="E19" s="9" t="s">
        <v>48</v>
      </c>
      <c r="F19" s="5" t="s">
        <v>44</v>
      </c>
      <c r="G19" s="5" t="s">
        <v>45</v>
      </c>
      <c r="H19" s="5" t="s">
        <v>46</v>
      </c>
      <c r="I19" s="5">
        <v>180</v>
      </c>
    </row>
    <row r="20" spans="1:10" x14ac:dyDescent="0.3">
      <c r="A20" t="s">
        <v>49</v>
      </c>
      <c r="B20" s="1">
        <v>45352</v>
      </c>
      <c r="C20" s="1">
        <v>45382</v>
      </c>
      <c r="D20" s="2" t="s">
        <v>11</v>
      </c>
      <c r="E20" s="2" t="s">
        <v>12</v>
      </c>
      <c r="F20" t="s">
        <v>13</v>
      </c>
      <c r="G20" s="2" t="s">
        <v>14</v>
      </c>
      <c r="H20" t="s">
        <v>18</v>
      </c>
      <c r="I20">
        <v>30</v>
      </c>
    </row>
    <row r="21" spans="1:10" s="5" customFormat="1" x14ac:dyDescent="0.3">
      <c r="A21" s="5" t="s">
        <v>49</v>
      </c>
      <c r="B21" s="6">
        <v>45352</v>
      </c>
      <c r="C21" s="6">
        <v>45382</v>
      </c>
      <c r="D21" s="7" t="s">
        <v>16</v>
      </c>
      <c r="E21" s="7" t="s">
        <v>17</v>
      </c>
      <c r="F21" s="5" t="s">
        <v>13</v>
      </c>
      <c r="G21" s="7" t="s">
        <v>14</v>
      </c>
      <c r="H21" s="5" t="s">
        <v>18</v>
      </c>
      <c r="I21" s="5">
        <v>30</v>
      </c>
    </row>
    <row r="22" spans="1:10" x14ac:dyDescent="0.3">
      <c r="A22" t="s">
        <v>49</v>
      </c>
      <c r="B22" s="1">
        <v>45390</v>
      </c>
      <c r="C22" s="1">
        <v>45412</v>
      </c>
      <c r="D22" s="2" t="s">
        <v>19</v>
      </c>
      <c r="E22" s="2" t="s">
        <v>20</v>
      </c>
      <c r="F22" t="s">
        <v>13</v>
      </c>
      <c r="G22" s="2" t="s">
        <v>14</v>
      </c>
      <c r="H22" t="s">
        <v>18</v>
      </c>
      <c r="I22">
        <v>10</v>
      </c>
    </row>
    <row r="23" spans="1:10" x14ac:dyDescent="0.3">
      <c r="A23" t="s">
        <v>49</v>
      </c>
      <c r="B23" s="1">
        <v>45536</v>
      </c>
      <c r="C23" s="1">
        <v>45611</v>
      </c>
      <c r="D23" s="2" t="s">
        <v>22</v>
      </c>
      <c r="E23" s="2" t="s">
        <v>20</v>
      </c>
      <c r="F23" t="s">
        <v>13</v>
      </c>
      <c r="G23" s="2" t="s">
        <v>14</v>
      </c>
      <c r="H23" t="s">
        <v>18</v>
      </c>
      <c r="I23">
        <v>10</v>
      </c>
    </row>
    <row r="24" spans="1:10" x14ac:dyDescent="0.3">
      <c r="A24" t="s">
        <v>49</v>
      </c>
      <c r="B24" s="1">
        <v>45474</v>
      </c>
      <c r="C24" s="1">
        <v>45534</v>
      </c>
      <c r="D24" s="2" t="s">
        <v>24</v>
      </c>
      <c r="E24" s="2" t="s">
        <v>50</v>
      </c>
      <c r="F24" t="s">
        <v>13</v>
      </c>
      <c r="G24" s="2" t="s">
        <v>14</v>
      </c>
      <c r="H24" t="s">
        <v>18</v>
      </c>
      <c r="I24">
        <v>30</v>
      </c>
    </row>
    <row r="25" spans="1:10" x14ac:dyDescent="0.3">
      <c r="A25" t="s">
        <v>49</v>
      </c>
      <c r="B25" s="1">
        <v>45689</v>
      </c>
      <c r="C25" s="1">
        <v>45750</v>
      </c>
      <c r="D25" s="2" t="s">
        <v>29</v>
      </c>
      <c r="E25" s="2" t="s">
        <v>50</v>
      </c>
      <c r="F25" t="s">
        <v>13</v>
      </c>
      <c r="G25" s="2" t="s">
        <v>14</v>
      </c>
      <c r="H25" t="s">
        <v>18</v>
      </c>
      <c r="I25">
        <v>30</v>
      </c>
    </row>
    <row r="26" spans="1:10" x14ac:dyDescent="0.3">
      <c r="A26" t="s">
        <v>49</v>
      </c>
      <c r="B26" s="1">
        <v>45404</v>
      </c>
      <c r="C26" s="1">
        <v>45422</v>
      </c>
      <c r="D26" s="4" t="s">
        <v>51</v>
      </c>
      <c r="E26" s="2" t="s">
        <v>12</v>
      </c>
      <c r="F26" t="s">
        <v>32</v>
      </c>
      <c r="G26" s="4" t="s">
        <v>33</v>
      </c>
      <c r="H26" t="s">
        <v>37</v>
      </c>
      <c r="I26">
        <f>C26-B26</f>
        <v>18</v>
      </c>
    </row>
    <row r="27" spans="1:10" x14ac:dyDescent="0.3">
      <c r="A27" t="s">
        <v>49</v>
      </c>
      <c r="B27" s="1">
        <v>45557</v>
      </c>
      <c r="C27" s="1">
        <v>45626</v>
      </c>
      <c r="D27" s="4" t="s">
        <v>52</v>
      </c>
      <c r="E27" s="2" t="s">
        <v>12</v>
      </c>
      <c r="F27" t="s">
        <v>32</v>
      </c>
      <c r="G27" s="4" t="s">
        <v>33</v>
      </c>
      <c r="H27" t="s">
        <v>37</v>
      </c>
      <c r="I27">
        <f>C27-B27</f>
        <v>69</v>
      </c>
    </row>
    <row r="28" spans="1:10" x14ac:dyDescent="0.3">
      <c r="A28" t="s">
        <v>49</v>
      </c>
      <c r="B28" s="1">
        <v>45750</v>
      </c>
      <c r="C28" s="1">
        <v>45808</v>
      </c>
      <c r="D28" s="4" t="s">
        <v>53</v>
      </c>
      <c r="E28" s="2" t="s">
        <v>40</v>
      </c>
      <c r="F28" t="s">
        <v>32</v>
      </c>
      <c r="G28" s="4" t="s">
        <v>33</v>
      </c>
      <c r="H28" t="s">
        <v>18</v>
      </c>
      <c r="I28">
        <v>30</v>
      </c>
    </row>
    <row r="29" spans="1:10" x14ac:dyDescent="0.3">
      <c r="A29" t="s">
        <v>49</v>
      </c>
      <c r="B29" s="1">
        <v>45808</v>
      </c>
      <c r="C29" s="1">
        <v>45823</v>
      </c>
      <c r="D29" s="4" t="s">
        <v>42</v>
      </c>
      <c r="E29" s="2" t="s">
        <v>40</v>
      </c>
      <c r="F29" t="s">
        <v>32</v>
      </c>
      <c r="G29" s="4" t="s">
        <v>33</v>
      </c>
      <c r="H29" t="s">
        <v>18</v>
      </c>
      <c r="I29">
        <v>10</v>
      </c>
    </row>
    <row r="30" spans="1:10" x14ac:dyDescent="0.3">
      <c r="A30" t="s">
        <v>49</v>
      </c>
      <c r="B30" s="1">
        <v>45823</v>
      </c>
      <c r="C30" s="1">
        <v>45838</v>
      </c>
      <c r="D30" s="3" t="s">
        <v>43</v>
      </c>
      <c r="E30" s="2" t="s">
        <v>40</v>
      </c>
      <c r="F30" t="s">
        <v>44</v>
      </c>
      <c r="G30" t="s">
        <v>45</v>
      </c>
      <c r="H30" t="s">
        <v>18</v>
      </c>
      <c r="I30">
        <v>30</v>
      </c>
    </row>
    <row r="31" spans="1:10" x14ac:dyDescent="0.3">
      <c r="A31" t="s">
        <v>49</v>
      </c>
      <c r="B31" s="1">
        <v>45838</v>
      </c>
      <c r="C31" s="1">
        <v>46022</v>
      </c>
      <c r="D31" s="3" t="s">
        <v>47</v>
      </c>
      <c r="E31" s="2" t="s">
        <v>40</v>
      </c>
      <c r="F31" t="s">
        <v>44</v>
      </c>
      <c r="G31" t="s">
        <v>45</v>
      </c>
      <c r="H31" t="s">
        <v>18</v>
      </c>
      <c r="I31">
        <v>180</v>
      </c>
      <c r="J31" t="s">
        <v>54</v>
      </c>
    </row>
    <row r="32" spans="1:10" x14ac:dyDescent="0.3">
      <c r="A32" t="s">
        <v>55</v>
      </c>
      <c r="B32" s="1">
        <v>45348</v>
      </c>
      <c r="C32" s="1">
        <v>45618</v>
      </c>
      <c r="D32" s="2" t="s">
        <v>56</v>
      </c>
      <c r="E32" s="2" t="s">
        <v>12</v>
      </c>
      <c r="F32" t="s">
        <v>13</v>
      </c>
      <c r="G32" s="2" t="s">
        <v>14</v>
      </c>
      <c r="H32" t="s">
        <v>18</v>
      </c>
      <c r="I32">
        <v>10</v>
      </c>
    </row>
    <row r="33" spans="1:9" x14ac:dyDescent="0.3">
      <c r="A33" t="s">
        <v>55</v>
      </c>
      <c r="B33" s="1">
        <v>45348</v>
      </c>
      <c r="C33" s="1">
        <v>45626</v>
      </c>
      <c r="D33" s="4" t="s">
        <v>57</v>
      </c>
      <c r="E33" s="2" t="s">
        <v>12</v>
      </c>
      <c r="F33" t="s">
        <v>32</v>
      </c>
      <c r="G33" s="4" t="s">
        <v>33</v>
      </c>
      <c r="H33" t="s">
        <v>103</v>
      </c>
      <c r="I33">
        <f>C33-B33</f>
        <v>278</v>
      </c>
    </row>
    <row r="34" spans="1:9" s="10" customFormat="1" x14ac:dyDescent="0.3">
      <c r="A34" s="10" t="s">
        <v>55</v>
      </c>
      <c r="B34" s="11">
        <v>45348</v>
      </c>
      <c r="C34" s="11">
        <v>45626</v>
      </c>
      <c r="D34" s="12" t="s">
        <v>58</v>
      </c>
      <c r="E34" s="13" t="s">
        <v>20</v>
      </c>
      <c r="F34" s="10" t="s">
        <v>32</v>
      </c>
      <c r="G34" s="12" t="s">
        <v>33</v>
      </c>
      <c r="H34" s="10" t="s">
        <v>18</v>
      </c>
      <c r="I34" s="10">
        <f>C34-B34</f>
        <v>278</v>
      </c>
    </row>
    <row r="35" spans="1:9" s="5" customFormat="1" x14ac:dyDescent="0.3">
      <c r="A35" s="5" t="s">
        <v>55</v>
      </c>
      <c r="B35" s="6">
        <v>45627</v>
      </c>
      <c r="C35" s="6">
        <v>45717</v>
      </c>
      <c r="D35" s="8" t="s">
        <v>59</v>
      </c>
      <c r="E35" s="7" t="s">
        <v>60</v>
      </c>
      <c r="F35" s="5" t="s">
        <v>32</v>
      </c>
      <c r="G35" s="8" t="s">
        <v>33</v>
      </c>
      <c r="H35" s="5" t="s">
        <v>18</v>
      </c>
      <c r="I35" s="5">
        <f>C35-B35</f>
        <v>90</v>
      </c>
    </row>
    <row r="36" spans="1:9" x14ac:dyDescent="0.3">
      <c r="A36" t="s">
        <v>55</v>
      </c>
      <c r="B36" s="1">
        <v>45627</v>
      </c>
      <c r="C36" s="1">
        <v>45717</v>
      </c>
      <c r="D36" s="4" t="s">
        <v>61</v>
      </c>
      <c r="E36" s="2" t="s">
        <v>40</v>
      </c>
      <c r="F36" t="s">
        <v>32</v>
      </c>
      <c r="G36" s="4" t="s">
        <v>33</v>
      </c>
      <c r="H36" t="s">
        <v>37</v>
      </c>
      <c r="I36">
        <v>30</v>
      </c>
    </row>
    <row r="37" spans="1:9" x14ac:dyDescent="0.3">
      <c r="A37" t="s">
        <v>55</v>
      </c>
      <c r="B37" s="1">
        <v>45627</v>
      </c>
      <c r="C37" s="1">
        <v>45717</v>
      </c>
      <c r="D37" s="4" t="s">
        <v>35</v>
      </c>
      <c r="E37" s="2" t="s">
        <v>36</v>
      </c>
      <c r="F37" t="s">
        <v>32</v>
      </c>
      <c r="G37" s="4" t="s">
        <v>33</v>
      </c>
      <c r="H37" t="s">
        <v>37</v>
      </c>
      <c r="I37">
        <v>30</v>
      </c>
    </row>
    <row r="38" spans="1:9" s="5" customFormat="1" x14ac:dyDescent="0.3">
      <c r="A38" s="5" t="s">
        <v>55</v>
      </c>
      <c r="B38" s="6">
        <v>45627</v>
      </c>
      <c r="C38" s="6">
        <v>45717</v>
      </c>
      <c r="D38" s="8" t="s">
        <v>62</v>
      </c>
      <c r="E38" s="7" t="s">
        <v>17</v>
      </c>
      <c r="F38" s="5" t="s">
        <v>32</v>
      </c>
      <c r="G38" s="8" t="s">
        <v>33</v>
      </c>
      <c r="H38" s="5" t="s">
        <v>18</v>
      </c>
      <c r="I38" s="5">
        <v>30</v>
      </c>
    </row>
    <row r="39" spans="1:9" x14ac:dyDescent="0.3">
      <c r="A39" t="s">
        <v>55</v>
      </c>
      <c r="B39" s="1">
        <v>45717</v>
      </c>
      <c r="C39" s="1">
        <v>45747</v>
      </c>
      <c r="D39" s="4" t="s">
        <v>42</v>
      </c>
      <c r="E39" s="2" t="s">
        <v>40</v>
      </c>
      <c r="F39" t="s">
        <v>32</v>
      </c>
      <c r="G39" s="4" t="s">
        <v>63</v>
      </c>
      <c r="H39" t="s">
        <v>37</v>
      </c>
    </row>
    <row r="40" spans="1:9" x14ac:dyDescent="0.3">
      <c r="A40" t="s">
        <v>55</v>
      </c>
      <c r="B40" s="1">
        <v>45748</v>
      </c>
      <c r="C40" s="1">
        <v>45778</v>
      </c>
      <c r="D40" s="3" t="s">
        <v>43</v>
      </c>
      <c r="E40" s="2" t="s">
        <v>40</v>
      </c>
      <c r="F40" t="s">
        <v>44</v>
      </c>
      <c r="G40" t="s">
        <v>45</v>
      </c>
      <c r="H40" t="s">
        <v>46</v>
      </c>
      <c r="I40">
        <v>30</v>
      </c>
    </row>
    <row r="41" spans="1:9" s="5" customFormat="1" x14ac:dyDescent="0.3">
      <c r="A41" s="5" t="s">
        <v>55</v>
      </c>
      <c r="B41" s="6">
        <v>45748</v>
      </c>
      <c r="C41" s="6">
        <v>45961</v>
      </c>
      <c r="D41" s="9" t="s">
        <v>47</v>
      </c>
      <c r="E41" s="7" t="s">
        <v>48</v>
      </c>
      <c r="F41" s="5" t="s">
        <v>44</v>
      </c>
      <c r="G41" s="5" t="s">
        <v>45</v>
      </c>
      <c r="H41" s="5" t="s">
        <v>46</v>
      </c>
      <c r="I41" s="5">
        <v>180</v>
      </c>
    </row>
    <row r="42" spans="1:9" x14ac:dyDescent="0.3">
      <c r="A42" t="s">
        <v>64</v>
      </c>
      <c r="B42" s="1">
        <v>45292</v>
      </c>
      <c r="C42" s="1">
        <v>45322</v>
      </c>
      <c r="D42" s="2" t="s">
        <v>65</v>
      </c>
      <c r="E42" s="2" t="s">
        <v>25</v>
      </c>
      <c r="F42" t="s">
        <v>13</v>
      </c>
      <c r="G42" s="2" t="s">
        <v>14</v>
      </c>
      <c r="H42" t="s">
        <v>18</v>
      </c>
      <c r="I42">
        <v>10</v>
      </c>
    </row>
    <row r="43" spans="1:9" x14ac:dyDescent="0.3">
      <c r="A43" t="s">
        <v>64</v>
      </c>
      <c r="B43" s="1">
        <v>45366</v>
      </c>
      <c r="C43" s="1">
        <v>45382</v>
      </c>
      <c r="D43" s="2" t="s">
        <v>66</v>
      </c>
      <c r="E43" s="2" t="s">
        <v>25</v>
      </c>
      <c r="F43" t="s">
        <v>13</v>
      </c>
      <c r="G43" s="2" t="s">
        <v>14</v>
      </c>
      <c r="H43" t="s">
        <v>18</v>
      </c>
      <c r="I43">
        <v>10</v>
      </c>
    </row>
    <row r="44" spans="1:9" x14ac:dyDescent="0.3">
      <c r="A44" t="s">
        <v>64</v>
      </c>
      <c r="B44" s="1">
        <v>45397</v>
      </c>
      <c r="C44" s="1">
        <v>45413</v>
      </c>
      <c r="D44" s="2" t="s">
        <v>11</v>
      </c>
      <c r="E44" s="2" t="s">
        <v>67</v>
      </c>
      <c r="F44" t="s">
        <v>13</v>
      </c>
      <c r="G44" s="2" t="s">
        <v>14</v>
      </c>
      <c r="H44" t="s">
        <v>18</v>
      </c>
      <c r="I44">
        <v>30</v>
      </c>
    </row>
    <row r="45" spans="1:9" x14ac:dyDescent="0.3">
      <c r="A45" t="s">
        <v>64</v>
      </c>
      <c r="B45" s="1">
        <v>45413</v>
      </c>
      <c r="C45" s="1">
        <v>45419</v>
      </c>
      <c r="D45" s="2" t="s">
        <v>68</v>
      </c>
      <c r="E45" s="2" t="s">
        <v>25</v>
      </c>
      <c r="F45" t="s">
        <v>13</v>
      </c>
      <c r="G45" s="2" t="s">
        <v>14</v>
      </c>
      <c r="H45" s="2" t="s">
        <v>18</v>
      </c>
    </row>
    <row r="46" spans="1:9" x14ac:dyDescent="0.3">
      <c r="A46" t="s">
        <v>64</v>
      </c>
      <c r="B46" s="1">
        <v>45421</v>
      </c>
      <c r="C46" s="1">
        <v>45589</v>
      </c>
      <c r="D46" s="2" t="s">
        <v>69</v>
      </c>
      <c r="E46" s="2" t="s">
        <v>20</v>
      </c>
      <c r="F46" t="s">
        <v>13</v>
      </c>
      <c r="G46" s="2" t="s">
        <v>14</v>
      </c>
      <c r="H46" s="2" t="s">
        <v>18</v>
      </c>
    </row>
    <row r="47" spans="1:9" x14ac:dyDescent="0.3">
      <c r="A47" t="s">
        <v>64</v>
      </c>
      <c r="B47" s="1">
        <v>45421</v>
      </c>
      <c r="C47" s="1">
        <v>45626</v>
      </c>
      <c r="D47" s="4" t="s">
        <v>70</v>
      </c>
      <c r="E47" s="2" t="s">
        <v>50</v>
      </c>
      <c r="F47" t="s">
        <v>32</v>
      </c>
      <c r="G47" s="4" t="s">
        <v>33</v>
      </c>
      <c r="H47" t="s">
        <v>18</v>
      </c>
    </row>
    <row r="48" spans="1:9" x14ac:dyDescent="0.3">
      <c r="A48" t="s">
        <v>64</v>
      </c>
      <c r="B48" s="1">
        <v>45421</v>
      </c>
      <c r="C48" s="1">
        <v>45626</v>
      </c>
      <c r="D48" s="4" t="s">
        <v>71</v>
      </c>
      <c r="E48" s="2" t="s">
        <v>20</v>
      </c>
      <c r="F48" t="s">
        <v>32</v>
      </c>
      <c r="G48" s="4" t="s">
        <v>33</v>
      </c>
      <c r="H48" t="s">
        <v>18</v>
      </c>
    </row>
    <row r="49" spans="1:9" x14ac:dyDescent="0.3">
      <c r="A49" t="s">
        <v>64</v>
      </c>
      <c r="B49" s="1">
        <v>45627</v>
      </c>
      <c r="C49" s="1">
        <v>45716</v>
      </c>
      <c r="D49" s="4" t="s">
        <v>72</v>
      </c>
      <c r="E49" s="2" t="s">
        <v>50</v>
      </c>
      <c r="F49" t="s">
        <v>32</v>
      </c>
      <c r="G49" s="4" t="s">
        <v>33</v>
      </c>
      <c r="H49" t="s">
        <v>18</v>
      </c>
    </row>
    <row r="50" spans="1:9" x14ac:dyDescent="0.3">
      <c r="A50" t="s">
        <v>64</v>
      </c>
      <c r="B50" s="1">
        <v>45717</v>
      </c>
      <c r="C50" s="1">
        <v>45747</v>
      </c>
      <c r="D50" s="4" t="s">
        <v>42</v>
      </c>
      <c r="E50" s="2" t="s">
        <v>40</v>
      </c>
      <c r="F50" t="s">
        <v>32</v>
      </c>
      <c r="G50" s="4" t="s">
        <v>63</v>
      </c>
      <c r="H50" t="s">
        <v>18</v>
      </c>
    </row>
    <row r="51" spans="1:9" s="5" customFormat="1" x14ac:dyDescent="0.3">
      <c r="A51" s="5" t="s">
        <v>64</v>
      </c>
      <c r="B51" s="6">
        <v>45444</v>
      </c>
      <c r="C51" s="6">
        <v>45657</v>
      </c>
      <c r="D51" s="7" t="s">
        <v>16</v>
      </c>
      <c r="E51" s="7" t="s">
        <v>17</v>
      </c>
      <c r="F51" s="5" t="s">
        <v>32</v>
      </c>
      <c r="G51" s="8" t="s">
        <v>63</v>
      </c>
      <c r="H51" s="5" t="s">
        <v>18</v>
      </c>
    </row>
    <row r="52" spans="1:9" x14ac:dyDescent="0.3">
      <c r="A52" t="s">
        <v>64</v>
      </c>
      <c r="B52" s="1">
        <v>45748</v>
      </c>
      <c r="C52" s="1">
        <v>45777</v>
      </c>
      <c r="D52" s="3" t="s">
        <v>43</v>
      </c>
      <c r="E52" s="2" t="s">
        <v>40</v>
      </c>
      <c r="F52" t="s">
        <v>44</v>
      </c>
      <c r="G52" t="s">
        <v>45</v>
      </c>
      <c r="H52" t="s">
        <v>18</v>
      </c>
    </row>
    <row r="53" spans="1:9" s="5" customFormat="1" x14ac:dyDescent="0.3">
      <c r="A53" s="5" t="s">
        <v>64</v>
      </c>
      <c r="B53" s="6">
        <v>45778</v>
      </c>
      <c r="C53" s="6">
        <v>46022</v>
      </c>
      <c r="D53" s="9" t="s">
        <v>47</v>
      </c>
      <c r="E53" s="7" t="s">
        <v>48</v>
      </c>
      <c r="F53" s="5" t="s">
        <v>44</v>
      </c>
      <c r="G53" s="5" t="s">
        <v>45</v>
      </c>
      <c r="H53" s="5" t="s">
        <v>18</v>
      </c>
    </row>
    <row r="54" spans="1:9" x14ac:dyDescent="0.3">
      <c r="A54" t="s">
        <v>73</v>
      </c>
      <c r="B54" s="1">
        <v>45626</v>
      </c>
      <c r="C54" s="1">
        <v>45688</v>
      </c>
      <c r="D54" s="2" t="s">
        <v>65</v>
      </c>
      <c r="E54" s="2" t="s">
        <v>74</v>
      </c>
      <c r="F54" t="s">
        <v>13</v>
      </c>
      <c r="G54" s="2" t="s">
        <v>14</v>
      </c>
      <c r="H54" t="s">
        <v>18</v>
      </c>
      <c r="I54">
        <v>10</v>
      </c>
    </row>
    <row r="55" spans="1:9" x14ac:dyDescent="0.3">
      <c r="A55" t="s">
        <v>73</v>
      </c>
      <c r="B55" s="1">
        <v>45641</v>
      </c>
      <c r="C55" s="1">
        <v>45688</v>
      </c>
      <c r="D55" s="2" t="s">
        <v>66</v>
      </c>
      <c r="E55" s="2" t="s">
        <v>75</v>
      </c>
      <c r="F55" t="s">
        <v>13</v>
      </c>
      <c r="G55" s="2" t="s">
        <v>14</v>
      </c>
      <c r="H55" t="s">
        <v>18</v>
      </c>
      <c r="I55">
        <v>10</v>
      </c>
    </row>
    <row r="56" spans="1:9" s="10" customFormat="1" x14ac:dyDescent="0.3">
      <c r="A56" s="10" t="s">
        <v>73</v>
      </c>
      <c r="B56" s="11">
        <v>45689</v>
      </c>
      <c r="C56" s="11">
        <v>45747</v>
      </c>
      <c r="D56" s="13" t="s">
        <v>11</v>
      </c>
      <c r="E56" s="13" t="s">
        <v>76</v>
      </c>
      <c r="F56" s="10" t="s">
        <v>13</v>
      </c>
      <c r="G56" s="13" t="s">
        <v>14</v>
      </c>
      <c r="H56" s="10" t="s">
        <v>18</v>
      </c>
      <c r="I56" s="10">
        <v>10</v>
      </c>
    </row>
    <row r="57" spans="1:9" x14ac:dyDescent="0.3">
      <c r="A57" t="s">
        <v>73</v>
      </c>
      <c r="B57" s="1">
        <v>45748</v>
      </c>
      <c r="C57" s="1">
        <v>45770</v>
      </c>
      <c r="D57" s="2" t="s">
        <v>68</v>
      </c>
      <c r="E57" s="2" t="s">
        <v>74</v>
      </c>
      <c r="F57" t="s">
        <v>13</v>
      </c>
      <c r="G57" s="2" t="s">
        <v>14</v>
      </c>
      <c r="H57" s="2" t="s">
        <v>18</v>
      </c>
    </row>
    <row r="58" spans="1:9" x14ac:dyDescent="0.3">
      <c r="A58" t="s">
        <v>73</v>
      </c>
      <c r="B58" s="1">
        <v>45772</v>
      </c>
      <c r="C58" s="1">
        <v>45838</v>
      </c>
      <c r="D58" s="2" t="s">
        <v>69</v>
      </c>
      <c r="E58" s="2" t="s">
        <v>50</v>
      </c>
      <c r="F58" t="s">
        <v>13</v>
      </c>
      <c r="G58" s="2" t="s">
        <v>14</v>
      </c>
      <c r="H58" s="2" t="s">
        <v>18</v>
      </c>
    </row>
    <row r="59" spans="1:9" s="10" customFormat="1" x14ac:dyDescent="0.3">
      <c r="A59" s="10" t="s">
        <v>73</v>
      </c>
      <c r="B59" s="11">
        <v>45839</v>
      </c>
      <c r="C59" s="11">
        <v>45930</v>
      </c>
      <c r="D59" s="12" t="s">
        <v>77</v>
      </c>
      <c r="E59" s="13" t="s">
        <v>78</v>
      </c>
      <c r="F59" s="10" t="s">
        <v>32</v>
      </c>
      <c r="G59" s="12" t="s">
        <v>33</v>
      </c>
      <c r="H59" s="10" t="s">
        <v>18</v>
      </c>
      <c r="I59" s="10">
        <f>C59-B59</f>
        <v>91</v>
      </c>
    </row>
    <row r="60" spans="1:9" x14ac:dyDescent="0.3">
      <c r="A60" t="s">
        <v>73</v>
      </c>
      <c r="B60" s="1">
        <v>45930</v>
      </c>
      <c r="C60" s="1">
        <v>45961</v>
      </c>
      <c r="D60" s="4" t="s">
        <v>79</v>
      </c>
      <c r="E60" s="2" t="s">
        <v>80</v>
      </c>
      <c r="F60" t="s">
        <v>32</v>
      </c>
      <c r="G60" s="4" t="s">
        <v>33</v>
      </c>
      <c r="H60" t="s">
        <v>18</v>
      </c>
      <c r="I60">
        <v>30</v>
      </c>
    </row>
    <row r="61" spans="1:9" x14ac:dyDescent="0.3">
      <c r="A61" t="s">
        <v>73</v>
      </c>
      <c r="B61" s="1">
        <v>45962</v>
      </c>
      <c r="C61" s="1">
        <v>45976</v>
      </c>
      <c r="D61" s="4" t="s">
        <v>81</v>
      </c>
      <c r="E61" s="2" t="s">
        <v>82</v>
      </c>
      <c r="F61" t="s">
        <v>32</v>
      </c>
      <c r="G61" s="4" t="s">
        <v>63</v>
      </c>
      <c r="H61" t="s">
        <v>18</v>
      </c>
    </row>
    <row r="62" spans="1:9" s="5" customFormat="1" x14ac:dyDescent="0.3">
      <c r="A62" s="5" t="s">
        <v>73</v>
      </c>
      <c r="B62" s="6">
        <v>45748</v>
      </c>
      <c r="C62" s="6">
        <v>45976</v>
      </c>
      <c r="D62" s="7" t="s">
        <v>16</v>
      </c>
      <c r="E62" s="7" t="s">
        <v>17</v>
      </c>
      <c r="F62" s="5" t="s">
        <v>32</v>
      </c>
      <c r="G62" s="8" t="s">
        <v>63</v>
      </c>
      <c r="H62" s="5" t="s">
        <v>18</v>
      </c>
    </row>
    <row r="63" spans="1:9" x14ac:dyDescent="0.3">
      <c r="A63" t="s">
        <v>73</v>
      </c>
      <c r="B63" s="1">
        <v>45976</v>
      </c>
      <c r="C63" s="1">
        <v>46006</v>
      </c>
      <c r="D63" s="3" t="s">
        <v>43</v>
      </c>
      <c r="E63" s="2" t="s">
        <v>40</v>
      </c>
      <c r="F63" t="s">
        <v>44</v>
      </c>
      <c r="G63" t="s">
        <v>45</v>
      </c>
      <c r="H63" t="s">
        <v>18</v>
      </c>
      <c r="I63">
        <v>30</v>
      </c>
    </row>
    <row r="64" spans="1:9" x14ac:dyDescent="0.3">
      <c r="A64" t="s">
        <v>73</v>
      </c>
      <c r="D64" s="3" t="s">
        <v>47</v>
      </c>
      <c r="E64" s="2" t="s">
        <v>83</v>
      </c>
      <c r="F64" t="s">
        <v>44</v>
      </c>
      <c r="G64" t="s">
        <v>45</v>
      </c>
      <c r="H64" t="s">
        <v>46</v>
      </c>
    </row>
  </sheetData>
  <phoneticPr fontId="18" type="noConversion"/>
  <conditionalFormatting sqref="H1:H1048576">
    <cfRule type="cellIs" dxfId="11" priority="1" operator="equal">
      <formula>"In Progress"</formula>
    </cfRule>
    <cfRule type="containsText" dxfId="10" priority="2" operator="containsText" text="Highly variable (Lab)">
      <formula>NOT(ISERROR(SEARCH("Highly variable (Lab)",H1)))</formula>
    </cfRule>
    <cfRule type="containsText" dxfId="9" priority="3" operator="containsText" text="Future steps">
      <formula>NOT(ISERROR(SEARCH("Future steps",H1)))</formula>
    </cfRule>
    <cfRule type="containsText" dxfId="8" priority="4" operator="containsText" text="Needs to be updated">
      <formula>NOT(ISERROR(SEARCH("Needs to be updated",H1)))</formula>
    </cfRule>
    <cfRule type="containsText" dxfId="7" priority="5" operator="containsText" text="Operational">
      <formula>NOT(ISERROR(SEARCH("Operational",H1)))</formula>
    </cfRule>
    <cfRule type="containsText" dxfId="6" priority="6" operator="containsText" text="Outstanding">
      <formula>NOT(ISERROR(SEARCH("Outstanding",H1)))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78CD-F850-488C-81A1-F667B560F10C}">
  <dimension ref="A1:K66"/>
  <sheetViews>
    <sheetView workbookViewId="0">
      <selection activeCell="E2" sqref="E2"/>
    </sheetView>
  </sheetViews>
  <sheetFormatPr defaultRowHeight="14.4" x14ac:dyDescent="0.3"/>
  <cols>
    <col min="1" max="1" width="26.109375" bestFit="1" customWidth="1"/>
    <col min="2" max="3" width="10.5546875" bestFit="1" customWidth="1"/>
    <col min="4" max="6" width="53.88671875" customWidth="1"/>
    <col min="7" max="8" width="33.44140625" hidden="1" customWidth="1"/>
    <col min="9" max="9" width="17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84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s="1">
        <v>45337</v>
      </c>
      <c r="C2" s="1">
        <v>45364</v>
      </c>
      <c r="D2" s="2" t="s">
        <v>11</v>
      </c>
      <c r="E2" s="2"/>
      <c r="F2" s="2" t="s">
        <v>12</v>
      </c>
      <c r="G2" t="s">
        <v>13</v>
      </c>
      <c r="H2" s="2" t="s">
        <v>14</v>
      </c>
      <c r="I2" t="s">
        <v>15</v>
      </c>
      <c r="J2">
        <v>30</v>
      </c>
    </row>
    <row r="3" spans="1:11" x14ac:dyDescent="0.3">
      <c r="A3" t="s">
        <v>10</v>
      </c>
      <c r="B3" s="1">
        <v>45364</v>
      </c>
      <c r="C3" s="1">
        <v>45430</v>
      </c>
      <c r="D3" s="2" t="s">
        <v>19</v>
      </c>
      <c r="E3" s="2"/>
      <c r="F3" s="2" t="s">
        <v>20</v>
      </c>
      <c r="G3" t="s">
        <v>13</v>
      </c>
      <c r="H3" s="2" t="s">
        <v>14</v>
      </c>
      <c r="I3" t="s">
        <v>18</v>
      </c>
      <c r="J3">
        <v>10</v>
      </c>
    </row>
    <row r="4" spans="1:11" x14ac:dyDescent="0.3">
      <c r="A4" t="s">
        <v>10</v>
      </c>
      <c r="B4" s="1">
        <v>45453</v>
      </c>
      <c r="C4" s="1">
        <v>45527</v>
      </c>
      <c r="D4" s="2" t="s">
        <v>21</v>
      </c>
      <c r="E4" s="2"/>
      <c r="F4" s="2" t="s">
        <v>20</v>
      </c>
      <c r="G4" t="s">
        <v>13</v>
      </c>
      <c r="H4" s="2" t="s">
        <v>14</v>
      </c>
      <c r="I4" t="s">
        <v>18</v>
      </c>
      <c r="J4">
        <v>10</v>
      </c>
    </row>
    <row r="5" spans="1:11" x14ac:dyDescent="0.3">
      <c r="A5" t="s">
        <v>10</v>
      </c>
      <c r="B5" s="1">
        <v>45544</v>
      </c>
      <c r="C5" s="1">
        <v>45596</v>
      </c>
      <c r="D5" s="2" t="s">
        <v>22</v>
      </c>
      <c r="E5" s="2"/>
      <c r="F5" s="2" t="s">
        <v>20</v>
      </c>
      <c r="G5" t="s">
        <v>13</v>
      </c>
      <c r="H5" s="2" t="s">
        <v>14</v>
      </c>
      <c r="I5" t="s">
        <v>18</v>
      </c>
      <c r="J5">
        <v>10</v>
      </c>
    </row>
    <row r="6" spans="1:11" x14ac:dyDescent="0.3">
      <c r="A6" t="s">
        <v>10</v>
      </c>
      <c r="B6" s="1">
        <v>45635</v>
      </c>
      <c r="C6" s="1">
        <v>45716</v>
      </c>
      <c r="D6" s="2" t="s">
        <v>23</v>
      </c>
      <c r="E6" s="2"/>
      <c r="F6" s="2" t="s">
        <v>20</v>
      </c>
      <c r="G6" t="s">
        <v>13</v>
      </c>
      <c r="H6" s="2" t="s">
        <v>14</v>
      </c>
      <c r="I6" t="s">
        <v>18</v>
      </c>
      <c r="J6">
        <v>10</v>
      </c>
    </row>
    <row r="7" spans="1:11" x14ac:dyDescent="0.3">
      <c r="A7" t="s">
        <v>10</v>
      </c>
      <c r="B7" s="1">
        <v>45522</v>
      </c>
      <c r="C7" s="1">
        <v>45553</v>
      </c>
      <c r="D7" s="2" t="s">
        <v>24</v>
      </c>
      <c r="E7" s="2"/>
      <c r="F7" s="2" t="s">
        <v>50</v>
      </c>
      <c r="G7" t="s">
        <v>13</v>
      </c>
      <c r="H7" s="2" t="s">
        <v>14</v>
      </c>
      <c r="I7" t="s">
        <v>26</v>
      </c>
      <c r="K7" t="s">
        <v>27</v>
      </c>
    </row>
    <row r="8" spans="1:11" x14ac:dyDescent="0.3">
      <c r="A8" t="s">
        <v>10</v>
      </c>
      <c r="B8" s="1">
        <v>45619</v>
      </c>
      <c r="C8" s="1">
        <v>45649</v>
      </c>
      <c r="D8" s="2" t="s">
        <v>28</v>
      </c>
      <c r="E8" s="2"/>
      <c r="F8" s="2" t="s">
        <v>50</v>
      </c>
      <c r="G8" t="s">
        <v>13</v>
      </c>
      <c r="H8" s="2" t="s">
        <v>14</v>
      </c>
      <c r="I8" t="s">
        <v>26</v>
      </c>
      <c r="K8" t="s">
        <v>27</v>
      </c>
    </row>
    <row r="9" spans="1:11" x14ac:dyDescent="0.3">
      <c r="A9" t="s">
        <v>10</v>
      </c>
      <c r="B9" s="1">
        <v>45716</v>
      </c>
      <c r="C9" s="1">
        <v>45747</v>
      </c>
      <c r="D9" s="2" t="s">
        <v>29</v>
      </c>
      <c r="E9" s="2"/>
      <c r="F9" s="2" t="s">
        <v>50</v>
      </c>
      <c r="G9" t="s">
        <v>13</v>
      </c>
      <c r="H9" s="2" t="s">
        <v>14</v>
      </c>
      <c r="I9" t="s">
        <v>26</v>
      </c>
      <c r="K9" t="s">
        <v>27</v>
      </c>
    </row>
    <row r="10" spans="1:11" x14ac:dyDescent="0.3">
      <c r="A10" t="s">
        <v>10</v>
      </c>
      <c r="B10" s="1">
        <v>45805</v>
      </c>
      <c r="C10" s="1">
        <v>45836</v>
      </c>
      <c r="D10" s="2" t="s">
        <v>30</v>
      </c>
      <c r="E10" s="2"/>
      <c r="F10" s="2" t="s">
        <v>50</v>
      </c>
      <c r="G10" t="s">
        <v>13</v>
      </c>
      <c r="H10" s="2" t="s">
        <v>14</v>
      </c>
      <c r="I10" t="s">
        <v>26</v>
      </c>
      <c r="K10" t="s">
        <v>27</v>
      </c>
    </row>
    <row r="11" spans="1:11" x14ac:dyDescent="0.3">
      <c r="A11" t="s">
        <v>10</v>
      </c>
      <c r="B11" s="1">
        <v>45373</v>
      </c>
      <c r="C11" s="1">
        <v>45723</v>
      </c>
      <c r="D11" s="4" t="s">
        <v>31</v>
      </c>
      <c r="E11" s="4"/>
      <c r="F11" s="4" t="s">
        <v>20</v>
      </c>
      <c r="G11" t="s">
        <v>32</v>
      </c>
      <c r="H11" s="4" t="s">
        <v>33</v>
      </c>
      <c r="I11" t="s">
        <v>18</v>
      </c>
      <c r="J11">
        <f>C11-B11</f>
        <v>350</v>
      </c>
    </row>
    <row r="12" spans="1:11" x14ac:dyDescent="0.3">
      <c r="A12" t="s">
        <v>10</v>
      </c>
      <c r="B12" s="1">
        <v>45373</v>
      </c>
      <c r="C12" s="1">
        <v>45723</v>
      </c>
      <c r="D12" s="4" t="s">
        <v>34</v>
      </c>
      <c r="E12" s="4"/>
      <c r="F12" s="4" t="s">
        <v>12</v>
      </c>
      <c r="G12" t="s">
        <v>32</v>
      </c>
      <c r="H12" s="4" t="s">
        <v>33</v>
      </c>
      <c r="I12" t="s">
        <v>37</v>
      </c>
      <c r="J12" t="e">
        <f>#REF!-B12</f>
        <v>#REF!</v>
      </c>
    </row>
    <row r="13" spans="1:11" x14ac:dyDescent="0.3">
      <c r="A13" t="s">
        <v>10</v>
      </c>
      <c r="B13" s="1">
        <v>45724</v>
      </c>
      <c r="C13" s="1">
        <v>45762</v>
      </c>
      <c r="D13" s="4" t="s">
        <v>35</v>
      </c>
      <c r="E13" s="4"/>
      <c r="F13" s="4" t="s">
        <v>36</v>
      </c>
      <c r="G13" t="s">
        <v>32</v>
      </c>
      <c r="H13" s="4" t="s">
        <v>33</v>
      </c>
      <c r="I13" t="s">
        <v>46</v>
      </c>
      <c r="J13">
        <v>30</v>
      </c>
      <c r="K13" t="s">
        <v>38</v>
      </c>
    </row>
    <row r="14" spans="1:11" x14ac:dyDescent="0.3">
      <c r="A14" t="s">
        <v>10</v>
      </c>
      <c r="B14" s="1">
        <v>45724</v>
      </c>
      <c r="C14" s="1">
        <v>45762</v>
      </c>
      <c r="D14" s="4" t="s">
        <v>39</v>
      </c>
      <c r="E14" s="4"/>
      <c r="F14" s="4" t="s">
        <v>40</v>
      </c>
      <c r="G14" t="s">
        <v>32</v>
      </c>
      <c r="H14" s="4" t="s">
        <v>33</v>
      </c>
      <c r="I14" t="s">
        <v>46</v>
      </c>
      <c r="J14">
        <v>30</v>
      </c>
      <c r="K14" t="s">
        <v>38</v>
      </c>
    </row>
    <row r="15" spans="1:11" x14ac:dyDescent="0.3">
      <c r="A15" t="s">
        <v>10</v>
      </c>
      <c r="B15" s="1">
        <v>45839</v>
      </c>
      <c r="C15" s="1">
        <v>45930</v>
      </c>
      <c r="D15" s="4" t="s">
        <v>41</v>
      </c>
      <c r="E15" s="4"/>
      <c r="F15" s="4" t="s">
        <v>40</v>
      </c>
      <c r="G15" t="s">
        <v>32</v>
      </c>
      <c r="H15" s="4" t="s">
        <v>33</v>
      </c>
      <c r="I15" t="s">
        <v>46</v>
      </c>
      <c r="J15">
        <v>30</v>
      </c>
    </row>
    <row r="16" spans="1:11" x14ac:dyDescent="0.3">
      <c r="A16" t="s">
        <v>10</v>
      </c>
      <c r="B16" s="1">
        <v>45930</v>
      </c>
      <c r="C16" s="1">
        <v>45945</v>
      </c>
      <c r="D16" s="4" t="s">
        <v>42</v>
      </c>
      <c r="E16" s="4"/>
      <c r="F16" s="4" t="s">
        <v>40</v>
      </c>
      <c r="G16" t="s">
        <v>32</v>
      </c>
      <c r="H16" s="4" t="s">
        <v>33</v>
      </c>
      <c r="I16" t="s">
        <v>46</v>
      </c>
      <c r="J16">
        <v>10</v>
      </c>
    </row>
    <row r="17" spans="1:11" x14ac:dyDescent="0.3">
      <c r="A17" t="s">
        <v>10</v>
      </c>
      <c r="B17" s="1">
        <v>45945</v>
      </c>
      <c r="C17" s="1">
        <v>46157</v>
      </c>
      <c r="D17" s="3" t="s">
        <v>47</v>
      </c>
      <c r="E17" s="3"/>
      <c r="F17" s="3" t="s">
        <v>40</v>
      </c>
      <c r="G17" t="s">
        <v>44</v>
      </c>
      <c r="H17" t="s">
        <v>45</v>
      </c>
      <c r="I17" t="s">
        <v>46</v>
      </c>
      <c r="J17">
        <v>180</v>
      </c>
    </row>
    <row r="18" spans="1:11" x14ac:dyDescent="0.3">
      <c r="A18" t="s">
        <v>10</v>
      </c>
      <c r="B18" s="1">
        <v>46157</v>
      </c>
      <c r="C18" s="1">
        <v>46188</v>
      </c>
      <c r="D18" s="3" t="s">
        <v>43</v>
      </c>
      <c r="E18" s="3"/>
      <c r="F18" s="3" t="s">
        <v>40</v>
      </c>
      <c r="G18" t="s">
        <v>44</v>
      </c>
      <c r="H18" t="s">
        <v>45</v>
      </c>
      <c r="I18" t="s">
        <v>46</v>
      </c>
      <c r="J18">
        <v>30</v>
      </c>
    </row>
    <row r="19" spans="1:11" x14ac:dyDescent="0.3">
      <c r="A19" t="s">
        <v>49</v>
      </c>
      <c r="B19" s="1">
        <v>45352</v>
      </c>
      <c r="C19" s="1">
        <v>45382</v>
      </c>
      <c r="D19" s="2" t="s">
        <v>11</v>
      </c>
      <c r="E19" s="2"/>
      <c r="F19" s="2" t="s">
        <v>12</v>
      </c>
      <c r="G19" t="s">
        <v>13</v>
      </c>
      <c r="H19" s="2" t="s">
        <v>14</v>
      </c>
      <c r="I19" t="s">
        <v>18</v>
      </c>
      <c r="J19">
        <v>30</v>
      </c>
    </row>
    <row r="20" spans="1:11" x14ac:dyDescent="0.3">
      <c r="A20" t="s">
        <v>49</v>
      </c>
      <c r="B20" s="1">
        <v>45390</v>
      </c>
      <c r="C20" s="1">
        <v>45412</v>
      </c>
      <c r="D20" s="2" t="s">
        <v>19</v>
      </c>
      <c r="E20" s="2"/>
      <c r="F20" s="2" t="s">
        <v>20</v>
      </c>
      <c r="G20" t="s">
        <v>13</v>
      </c>
      <c r="H20" s="2" t="s">
        <v>14</v>
      </c>
      <c r="I20" t="s">
        <v>18</v>
      </c>
      <c r="J20">
        <v>10</v>
      </c>
    </row>
    <row r="21" spans="1:11" x14ac:dyDescent="0.3">
      <c r="A21" t="s">
        <v>49</v>
      </c>
      <c r="B21" s="1">
        <v>45536</v>
      </c>
      <c r="C21" s="1">
        <v>45611</v>
      </c>
      <c r="D21" s="2" t="s">
        <v>22</v>
      </c>
      <c r="E21" s="2"/>
      <c r="F21" s="2" t="s">
        <v>20</v>
      </c>
      <c r="G21" t="s">
        <v>13</v>
      </c>
      <c r="H21" s="2" t="s">
        <v>14</v>
      </c>
      <c r="I21" t="s">
        <v>18</v>
      </c>
      <c r="J21">
        <v>10</v>
      </c>
    </row>
    <row r="22" spans="1:11" x14ac:dyDescent="0.3">
      <c r="A22" t="s">
        <v>49</v>
      </c>
      <c r="B22" s="1">
        <v>45474</v>
      </c>
      <c r="C22" s="1">
        <v>45534</v>
      </c>
      <c r="D22" s="2" t="s">
        <v>24</v>
      </c>
      <c r="E22" s="2"/>
      <c r="F22" s="2" t="s">
        <v>50</v>
      </c>
      <c r="G22" t="s">
        <v>13</v>
      </c>
      <c r="H22" s="2" t="s">
        <v>14</v>
      </c>
      <c r="I22" t="s">
        <v>18</v>
      </c>
      <c r="J22">
        <v>30</v>
      </c>
    </row>
    <row r="23" spans="1:11" x14ac:dyDescent="0.3">
      <c r="A23" t="s">
        <v>49</v>
      </c>
      <c r="B23" s="1">
        <v>45689</v>
      </c>
      <c r="C23" s="1">
        <v>45719</v>
      </c>
      <c r="D23" s="2" t="s">
        <v>29</v>
      </c>
      <c r="E23" s="2"/>
      <c r="F23" s="2" t="s">
        <v>50</v>
      </c>
      <c r="G23" t="s">
        <v>13</v>
      </c>
      <c r="H23" s="2" t="s">
        <v>14</v>
      </c>
      <c r="I23" t="s">
        <v>18</v>
      </c>
      <c r="J23">
        <v>30</v>
      </c>
    </row>
    <row r="24" spans="1:11" x14ac:dyDescent="0.3">
      <c r="A24" t="s">
        <v>49</v>
      </c>
      <c r="B24" s="1">
        <v>45404</v>
      </c>
      <c r="C24" s="1">
        <v>45422</v>
      </c>
      <c r="D24" s="4" t="s">
        <v>51</v>
      </c>
      <c r="E24" s="4"/>
      <c r="F24" s="2" t="s">
        <v>12</v>
      </c>
      <c r="G24" t="s">
        <v>32</v>
      </c>
      <c r="H24" s="4" t="s">
        <v>33</v>
      </c>
      <c r="I24" t="s">
        <v>37</v>
      </c>
      <c r="J24">
        <f>C24-B24</f>
        <v>18</v>
      </c>
    </row>
    <row r="25" spans="1:11" x14ac:dyDescent="0.3">
      <c r="A25" t="s">
        <v>49</v>
      </c>
      <c r="B25" s="1">
        <v>45557</v>
      </c>
      <c r="C25" s="1">
        <v>45611</v>
      </c>
      <c r="D25" s="4" t="s">
        <v>52</v>
      </c>
      <c r="E25" s="4"/>
      <c r="F25" s="2" t="s">
        <v>12</v>
      </c>
      <c r="G25" t="s">
        <v>32</v>
      </c>
      <c r="H25" s="4" t="s">
        <v>33</v>
      </c>
      <c r="I25" t="s">
        <v>37</v>
      </c>
      <c r="J25">
        <f>C25-B25</f>
        <v>54</v>
      </c>
    </row>
    <row r="26" spans="1:11" x14ac:dyDescent="0.3">
      <c r="A26" t="s">
        <v>49</v>
      </c>
      <c r="B26" s="1">
        <v>45719</v>
      </c>
      <c r="C26" s="1">
        <v>45778</v>
      </c>
      <c r="D26" s="4" t="s">
        <v>53</v>
      </c>
      <c r="E26" s="4"/>
      <c r="F26" s="2" t="s">
        <v>40</v>
      </c>
      <c r="G26" t="s">
        <v>32</v>
      </c>
      <c r="H26" s="4" t="s">
        <v>33</v>
      </c>
      <c r="I26" t="s">
        <v>18</v>
      </c>
      <c r="J26">
        <v>30</v>
      </c>
    </row>
    <row r="27" spans="1:11" x14ac:dyDescent="0.3">
      <c r="A27" t="s">
        <v>49</v>
      </c>
      <c r="B27" s="1">
        <v>45778</v>
      </c>
      <c r="C27" s="1">
        <v>45792</v>
      </c>
      <c r="D27" s="4" t="s">
        <v>42</v>
      </c>
      <c r="E27" s="4"/>
      <c r="F27" s="2" t="s">
        <v>40</v>
      </c>
      <c r="G27" t="s">
        <v>32</v>
      </c>
      <c r="H27" s="4" t="s">
        <v>33</v>
      </c>
      <c r="I27" t="s">
        <v>18</v>
      </c>
      <c r="J27">
        <v>10</v>
      </c>
    </row>
    <row r="28" spans="1:11" x14ac:dyDescent="0.3">
      <c r="A28" t="s">
        <v>49</v>
      </c>
      <c r="B28" s="1">
        <v>45792</v>
      </c>
      <c r="C28" s="1">
        <v>46006</v>
      </c>
      <c r="D28" s="3" t="s">
        <v>47</v>
      </c>
      <c r="E28" s="3"/>
      <c r="F28" s="2" t="s">
        <v>40</v>
      </c>
      <c r="G28" t="s">
        <v>44</v>
      </c>
      <c r="H28" t="s">
        <v>45</v>
      </c>
      <c r="I28" t="s">
        <v>18</v>
      </c>
      <c r="J28">
        <v>180</v>
      </c>
      <c r="K28" t="s">
        <v>54</v>
      </c>
    </row>
    <row r="29" spans="1:11" x14ac:dyDescent="0.3">
      <c r="A29" t="s">
        <v>49</v>
      </c>
      <c r="B29" s="1">
        <v>45778</v>
      </c>
      <c r="C29" s="1">
        <v>45809</v>
      </c>
      <c r="D29" s="3" t="s">
        <v>43</v>
      </c>
      <c r="E29" s="3"/>
      <c r="F29" s="2" t="s">
        <v>40</v>
      </c>
      <c r="G29" t="s">
        <v>44</v>
      </c>
      <c r="H29" t="s">
        <v>45</v>
      </c>
      <c r="I29" t="s">
        <v>18</v>
      </c>
      <c r="J29">
        <v>30</v>
      </c>
    </row>
    <row r="30" spans="1:11" x14ac:dyDescent="0.3">
      <c r="A30" t="s">
        <v>55</v>
      </c>
      <c r="B30" s="1">
        <v>45348</v>
      </c>
      <c r="C30" s="1">
        <v>45618</v>
      </c>
      <c r="D30" s="2" t="s">
        <v>56</v>
      </c>
      <c r="E30" s="2" t="s">
        <v>85</v>
      </c>
      <c r="F30" s="2" t="s">
        <v>12</v>
      </c>
      <c r="G30" t="s">
        <v>13</v>
      </c>
      <c r="H30" s="2" t="s">
        <v>14</v>
      </c>
      <c r="I30" t="s">
        <v>18</v>
      </c>
      <c r="J30">
        <v>10</v>
      </c>
    </row>
    <row r="31" spans="1:11" x14ac:dyDescent="0.3">
      <c r="A31" t="s">
        <v>55</v>
      </c>
      <c r="B31" s="1">
        <v>45348</v>
      </c>
      <c r="C31" s="1">
        <v>45626</v>
      </c>
      <c r="D31" s="4" t="s">
        <v>57</v>
      </c>
      <c r="E31" s="2" t="s">
        <v>85</v>
      </c>
      <c r="F31" s="2" t="s">
        <v>12</v>
      </c>
      <c r="G31" t="s">
        <v>32</v>
      </c>
      <c r="H31" s="4" t="s">
        <v>33</v>
      </c>
      <c r="I31" t="s">
        <v>37</v>
      </c>
      <c r="J31">
        <f>C31-B31</f>
        <v>278</v>
      </c>
    </row>
    <row r="32" spans="1:11" x14ac:dyDescent="0.3">
      <c r="A32" t="s">
        <v>55</v>
      </c>
      <c r="B32" s="1">
        <v>45348</v>
      </c>
      <c r="C32" s="1">
        <v>45626</v>
      </c>
      <c r="D32" s="4" t="s">
        <v>58</v>
      </c>
      <c r="E32" s="2" t="s">
        <v>85</v>
      </c>
      <c r="F32" s="2" t="s">
        <v>20</v>
      </c>
      <c r="G32" t="s">
        <v>32</v>
      </c>
      <c r="H32" s="4" t="s">
        <v>33</v>
      </c>
      <c r="I32" t="s">
        <v>37</v>
      </c>
      <c r="J32">
        <f>C32-B32</f>
        <v>278</v>
      </c>
    </row>
    <row r="33" spans="1:10" x14ac:dyDescent="0.3">
      <c r="A33" t="s">
        <v>55</v>
      </c>
      <c r="B33" s="1">
        <v>45627</v>
      </c>
      <c r="C33" s="1">
        <v>45717</v>
      </c>
      <c r="D33" s="4" t="s">
        <v>86</v>
      </c>
      <c r="E33" s="2" t="s">
        <v>85</v>
      </c>
      <c r="F33" s="2" t="s">
        <v>40</v>
      </c>
      <c r="G33" t="s">
        <v>32</v>
      </c>
      <c r="H33" s="4" t="s">
        <v>33</v>
      </c>
      <c r="I33" t="s">
        <v>37</v>
      </c>
      <c r="J33">
        <v>30</v>
      </c>
    </row>
    <row r="34" spans="1:10" x14ac:dyDescent="0.3">
      <c r="A34" t="s">
        <v>55</v>
      </c>
      <c r="B34" s="1">
        <v>45627</v>
      </c>
      <c r="C34" s="1">
        <v>45717</v>
      </c>
      <c r="D34" s="4" t="s">
        <v>87</v>
      </c>
      <c r="E34" s="2" t="s">
        <v>85</v>
      </c>
      <c r="F34" s="2" t="s">
        <v>36</v>
      </c>
      <c r="G34" t="s">
        <v>32</v>
      </c>
      <c r="H34" s="4" t="s">
        <v>33</v>
      </c>
      <c r="I34" t="s">
        <v>46</v>
      </c>
      <c r="J34">
        <v>30</v>
      </c>
    </row>
    <row r="35" spans="1:10" x14ac:dyDescent="0.3">
      <c r="A35" t="s">
        <v>55</v>
      </c>
      <c r="B35" s="1">
        <v>45717</v>
      </c>
      <c r="C35" s="1">
        <v>45747</v>
      </c>
      <c r="D35" s="4" t="s">
        <v>42</v>
      </c>
      <c r="E35" s="2" t="s">
        <v>85</v>
      </c>
      <c r="F35" s="2" t="s">
        <v>40</v>
      </c>
      <c r="G35" t="s">
        <v>32</v>
      </c>
      <c r="H35" s="4" t="s">
        <v>63</v>
      </c>
      <c r="I35" t="s">
        <v>37</v>
      </c>
    </row>
    <row r="36" spans="1:10" x14ac:dyDescent="0.3">
      <c r="A36" t="s">
        <v>55</v>
      </c>
      <c r="B36" s="1">
        <v>45748</v>
      </c>
      <c r="C36" s="1">
        <v>45778</v>
      </c>
      <c r="D36" s="3" t="s">
        <v>43</v>
      </c>
      <c r="E36" s="2" t="s">
        <v>85</v>
      </c>
      <c r="F36" s="2" t="s">
        <v>40</v>
      </c>
      <c r="G36" t="s">
        <v>44</v>
      </c>
      <c r="H36" t="s">
        <v>45</v>
      </c>
      <c r="I36" t="s">
        <v>46</v>
      </c>
      <c r="J36">
        <v>30</v>
      </c>
    </row>
    <row r="37" spans="1:10" x14ac:dyDescent="0.3">
      <c r="A37" t="s">
        <v>55</v>
      </c>
      <c r="B37" s="1">
        <v>45748</v>
      </c>
      <c r="C37" s="1">
        <v>45961</v>
      </c>
      <c r="D37" s="3" t="s">
        <v>47</v>
      </c>
      <c r="E37" s="3" t="s">
        <v>85</v>
      </c>
      <c r="F37" s="2" t="s">
        <v>40</v>
      </c>
      <c r="G37" t="s">
        <v>44</v>
      </c>
      <c r="H37" t="s">
        <v>45</v>
      </c>
      <c r="I37" t="s">
        <v>46</v>
      </c>
      <c r="J37">
        <v>180</v>
      </c>
    </row>
    <row r="38" spans="1:10" x14ac:dyDescent="0.3">
      <c r="A38" t="s">
        <v>55</v>
      </c>
      <c r="B38" s="1">
        <v>45714</v>
      </c>
      <c r="C38" s="1">
        <v>45983</v>
      </c>
      <c r="D38" s="2" t="s">
        <v>56</v>
      </c>
      <c r="E38" s="2" t="s">
        <v>88</v>
      </c>
      <c r="F38" s="2" t="s">
        <v>12</v>
      </c>
      <c r="G38" t="s">
        <v>13</v>
      </c>
      <c r="H38" s="2" t="s">
        <v>14</v>
      </c>
      <c r="I38" t="s">
        <v>18</v>
      </c>
      <c r="J38">
        <v>10</v>
      </c>
    </row>
    <row r="39" spans="1:10" x14ac:dyDescent="0.3">
      <c r="A39" t="s">
        <v>55</v>
      </c>
      <c r="B39" s="1">
        <v>45714</v>
      </c>
      <c r="C39" s="1">
        <v>45991</v>
      </c>
      <c r="D39" s="4" t="s">
        <v>57</v>
      </c>
      <c r="E39" s="2" t="s">
        <v>88</v>
      </c>
      <c r="F39" s="2" t="s">
        <v>12</v>
      </c>
      <c r="G39" t="s">
        <v>32</v>
      </c>
      <c r="H39" s="4" t="s">
        <v>33</v>
      </c>
      <c r="I39" t="s">
        <v>37</v>
      </c>
      <c r="J39">
        <f>C39-B39</f>
        <v>277</v>
      </c>
    </row>
    <row r="40" spans="1:10" x14ac:dyDescent="0.3">
      <c r="A40" t="s">
        <v>55</v>
      </c>
      <c r="B40" s="1">
        <v>45714</v>
      </c>
      <c r="C40" s="1">
        <v>45991</v>
      </c>
      <c r="D40" s="4" t="s">
        <v>58</v>
      </c>
      <c r="E40" s="2" t="s">
        <v>88</v>
      </c>
      <c r="F40" s="2" t="s">
        <v>20</v>
      </c>
      <c r="G40" t="s">
        <v>32</v>
      </c>
      <c r="H40" s="4" t="s">
        <v>33</v>
      </c>
      <c r="I40" t="s">
        <v>37</v>
      </c>
      <c r="J40">
        <f>C40-B40</f>
        <v>277</v>
      </c>
    </row>
    <row r="41" spans="1:10" x14ac:dyDescent="0.3">
      <c r="A41" t="s">
        <v>55</v>
      </c>
      <c r="B41" s="1">
        <v>45992</v>
      </c>
      <c r="C41" s="1">
        <v>46082</v>
      </c>
      <c r="D41" s="4" t="s">
        <v>86</v>
      </c>
      <c r="E41" s="2" t="s">
        <v>88</v>
      </c>
      <c r="F41" s="2" t="s">
        <v>40</v>
      </c>
      <c r="G41" t="s">
        <v>32</v>
      </c>
      <c r="H41" s="4" t="s">
        <v>33</v>
      </c>
      <c r="I41" t="s">
        <v>37</v>
      </c>
      <c r="J41">
        <v>30</v>
      </c>
    </row>
    <row r="42" spans="1:10" x14ac:dyDescent="0.3">
      <c r="A42" t="s">
        <v>55</v>
      </c>
      <c r="B42" s="1">
        <v>45992</v>
      </c>
      <c r="C42" s="1">
        <v>46082</v>
      </c>
      <c r="D42" s="4" t="s">
        <v>87</v>
      </c>
      <c r="E42" s="2" t="s">
        <v>88</v>
      </c>
      <c r="F42" s="2" t="s">
        <v>36</v>
      </c>
      <c r="G42" t="s">
        <v>32</v>
      </c>
      <c r="H42" s="4" t="s">
        <v>33</v>
      </c>
      <c r="I42" t="s">
        <v>46</v>
      </c>
      <c r="J42">
        <v>30</v>
      </c>
    </row>
    <row r="43" spans="1:10" x14ac:dyDescent="0.3">
      <c r="A43" t="s">
        <v>55</v>
      </c>
      <c r="B43" s="1">
        <v>46082</v>
      </c>
      <c r="C43" s="1">
        <v>46112</v>
      </c>
      <c r="D43" s="4" t="s">
        <v>42</v>
      </c>
      <c r="E43" s="2" t="s">
        <v>88</v>
      </c>
      <c r="F43" s="2" t="s">
        <v>40</v>
      </c>
      <c r="G43" t="s">
        <v>32</v>
      </c>
      <c r="H43" s="4" t="s">
        <v>63</v>
      </c>
      <c r="I43" t="s">
        <v>37</v>
      </c>
    </row>
    <row r="44" spans="1:10" x14ac:dyDescent="0.3">
      <c r="A44" t="s">
        <v>55</v>
      </c>
      <c r="B44" s="1">
        <v>46113</v>
      </c>
      <c r="C44" s="1">
        <v>46143</v>
      </c>
      <c r="D44" s="3" t="s">
        <v>43</v>
      </c>
      <c r="E44" s="2" t="s">
        <v>88</v>
      </c>
      <c r="F44" s="2" t="s">
        <v>40</v>
      </c>
      <c r="G44" t="s">
        <v>44</v>
      </c>
      <c r="H44" t="s">
        <v>45</v>
      </c>
      <c r="I44" t="s">
        <v>46</v>
      </c>
      <c r="J44">
        <v>30</v>
      </c>
    </row>
    <row r="45" spans="1:10" x14ac:dyDescent="0.3">
      <c r="A45" t="s">
        <v>55</v>
      </c>
      <c r="B45" s="1">
        <v>46113</v>
      </c>
      <c r="C45" s="1">
        <v>46326</v>
      </c>
      <c r="D45" s="3" t="s">
        <v>47</v>
      </c>
      <c r="E45" s="2" t="s">
        <v>88</v>
      </c>
      <c r="F45" s="2" t="s">
        <v>40</v>
      </c>
      <c r="G45" t="s">
        <v>44</v>
      </c>
      <c r="H45" t="s">
        <v>45</v>
      </c>
      <c r="I45" t="s">
        <v>46</v>
      </c>
      <c r="J45">
        <v>180</v>
      </c>
    </row>
    <row r="46" spans="1:10" x14ac:dyDescent="0.3">
      <c r="A46" t="s">
        <v>64</v>
      </c>
      <c r="B46" s="1">
        <v>45292</v>
      </c>
      <c r="C46" s="1">
        <v>45322</v>
      </c>
      <c r="D46" s="2" t="s">
        <v>65</v>
      </c>
      <c r="E46" s="2"/>
      <c r="F46" s="2" t="s">
        <v>25</v>
      </c>
      <c r="G46" t="s">
        <v>13</v>
      </c>
      <c r="H46" s="2" t="s">
        <v>14</v>
      </c>
      <c r="I46" t="s">
        <v>18</v>
      </c>
      <c r="J46">
        <v>10</v>
      </c>
    </row>
    <row r="47" spans="1:10" x14ac:dyDescent="0.3">
      <c r="A47" t="s">
        <v>64</v>
      </c>
      <c r="B47" s="1">
        <v>45366</v>
      </c>
      <c r="C47" s="1">
        <v>45382</v>
      </c>
      <c r="D47" s="2" t="s">
        <v>66</v>
      </c>
      <c r="E47" s="2"/>
      <c r="F47" s="2" t="s">
        <v>25</v>
      </c>
      <c r="G47" t="s">
        <v>13</v>
      </c>
      <c r="H47" s="2" t="s">
        <v>14</v>
      </c>
      <c r="I47" t="s">
        <v>37</v>
      </c>
      <c r="J47">
        <v>10</v>
      </c>
    </row>
    <row r="48" spans="1:10" x14ac:dyDescent="0.3">
      <c r="A48" t="s">
        <v>64</v>
      </c>
      <c r="B48" s="1">
        <v>45397</v>
      </c>
      <c r="C48" s="1">
        <v>45413</v>
      </c>
      <c r="D48" s="2" t="s">
        <v>11</v>
      </c>
      <c r="E48" s="2"/>
      <c r="F48" s="2" t="s">
        <v>89</v>
      </c>
      <c r="G48" t="s">
        <v>13</v>
      </c>
      <c r="H48" s="2" t="s">
        <v>14</v>
      </c>
      <c r="I48" t="s">
        <v>18</v>
      </c>
      <c r="J48">
        <v>30</v>
      </c>
    </row>
    <row r="49" spans="1:10" x14ac:dyDescent="0.3">
      <c r="A49" t="s">
        <v>64</v>
      </c>
      <c r="B49" s="1">
        <v>45413</v>
      </c>
      <c r="C49" s="1">
        <v>45419</v>
      </c>
      <c r="D49" s="2" t="s">
        <v>68</v>
      </c>
      <c r="E49" s="2"/>
      <c r="F49" s="2" t="s">
        <v>25</v>
      </c>
      <c r="G49" t="s">
        <v>13</v>
      </c>
      <c r="H49" s="2" t="s">
        <v>14</v>
      </c>
      <c r="I49" s="2" t="s">
        <v>18</v>
      </c>
    </row>
    <row r="50" spans="1:10" x14ac:dyDescent="0.3">
      <c r="A50" t="s">
        <v>64</v>
      </c>
      <c r="B50" s="1">
        <v>45421</v>
      </c>
      <c r="C50" s="1">
        <v>45589</v>
      </c>
      <c r="D50" s="2" t="s">
        <v>69</v>
      </c>
      <c r="E50" s="2"/>
      <c r="F50" s="2" t="s">
        <v>20</v>
      </c>
      <c r="G50" t="s">
        <v>13</v>
      </c>
      <c r="H50" s="2" t="s">
        <v>14</v>
      </c>
      <c r="I50" s="2" t="s">
        <v>18</v>
      </c>
    </row>
    <row r="51" spans="1:10" x14ac:dyDescent="0.3">
      <c r="A51" t="s">
        <v>64</v>
      </c>
      <c r="B51" s="1">
        <v>45421</v>
      </c>
      <c r="C51" s="1">
        <v>45626</v>
      </c>
      <c r="D51" s="4" t="s">
        <v>70</v>
      </c>
      <c r="E51" s="4"/>
      <c r="F51" s="2" t="s">
        <v>50</v>
      </c>
      <c r="G51" t="s">
        <v>32</v>
      </c>
      <c r="H51" s="4" t="s">
        <v>33</v>
      </c>
      <c r="I51" t="s">
        <v>18</v>
      </c>
    </row>
    <row r="52" spans="1:10" x14ac:dyDescent="0.3">
      <c r="A52" t="s">
        <v>64</v>
      </c>
      <c r="B52" s="1">
        <v>45421</v>
      </c>
      <c r="C52" s="1">
        <v>45626</v>
      </c>
      <c r="D52" s="4" t="s">
        <v>71</v>
      </c>
      <c r="E52" s="4"/>
      <c r="F52" s="2" t="s">
        <v>20</v>
      </c>
      <c r="G52" t="s">
        <v>32</v>
      </c>
      <c r="H52" s="4" t="s">
        <v>33</v>
      </c>
      <c r="I52" t="s">
        <v>18</v>
      </c>
    </row>
    <row r="53" spans="1:10" x14ac:dyDescent="0.3">
      <c r="A53" t="s">
        <v>64</v>
      </c>
      <c r="B53" s="1">
        <v>45627</v>
      </c>
      <c r="C53" s="1">
        <v>45350</v>
      </c>
      <c r="D53" s="4" t="s">
        <v>72</v>
      </c>
      <c r="E53" s="4"/>
      <c r="F53" s="2" t="s">
        <v>50</v>
      </c>
      <c r="G53" t="s">
        <v>32</v>
      </c>
      <c r="H53" s="4" t="s">
        <v>33</v>
      </c>
      <c r="I53" t="s">
        <v>18</v>
      </c>
    </row>
    <row r="54" spans="1:10" x14ac:dyDescent="0.3">
      <c r="A54" t="s">
        <v>64</v>
      </c>
      <c r="B54" s="1">
        <v>45352</v>
      </c>
      <c r="C54" s="1">
        <v>45382</v>
      </c>
      <c r="D54" s="4" t="s">
        <v>42</v>
      </c>
      <c r="E54" s="4"/>
      <c r="F54" s="2" t="s">
        <v>40</v>
      </c>
      <c r="G54" t="s">
        <v>32</v>
      </c>
      <c r="H54" s="4" t="s">
        <v>63</v>
      </c>
      <c r="I54" t="s">
        <v>18</v>
      </c>
    </row>
    <row r="55" spans="1:10" x14ac:dyDescent="0.3">
      <c r="A55" t="s">
        <v>64</v>
      </c>
      <c r="B55" s="1">
        <v>45383</v>
      </c>
      <c r="C55" s="1">
        <v>45412</v>
      </c>
      <c r="D55" s="3" t="s">
        <v>43</v>
      </c>
      <c r="E55" s="3"/>
      <c r="F55" s="2" t="s">
        <v>40</v>
      </c>
      <c r="G55" t="s">
        <v>44</v>
      </c>
      <c r="H55" t="s">
        <v>45</v>
      </c>
      <c r="I55" t="s">
        <v>18</v>
      </c>
    </row>
    <row r="56" spans="1:10" x14ac:dyDescent="0.3">
      <c r="A56" t="s">
        <v>64</v>
      </c>
      <c r="B56" s="1">
        <v>45413</v>
      </c>
      <c r="C56" s="1">
        <v>45657</v>
      </c>
      <c r="D56" s="3" t="s">
        <v>47</v>
      </c>
      <c r="E56" s="3"/>
      <c r="F56" s="2" t="s">
        <v>40</v>
      </c>
      <c r="G56" t="s">
        <v>44</v>
      </c>
      <c r="H56" t="s">
        <v>45</v>
      </c>
      <c r="I56" t="s">
        <v>18</v>
      </c>
    </row>
    <row r="57" spans="1:10" x14ac:dyDescent="0.3">
      <c r="A57" t="s">
        <v>73</v>
      </c>
      <c r="B57" s="1">
        <v>45626</v>
      </c>
      <c r="C57" s="1">
        <v>45688</v>
      </c>
      <c r="D57" s="2" t="s">
        <v>65</v>
      </c>
      <c r="E57" s="2"/>
      <c r="F57" s="2" t="s">
        <v>74</v>
      </c>
      <c r="G57" t="s">
        <v>13</v>
      </c>
      <c r="H57" s="2" t="s">
        <v>14</v>
      </c>
      <c r="I57" t="s">
        <v>18</v>
      </c>
      <c r="J57">
        <v>10</v>
      </c>
    </row>
    <row r="58" spans="1:10" x14ac:dyDescent="0.3">
      <c r="A58" t="s">
        <v>73</v>
      </c>
      <c r="B58" s="1">
        <v>45641</v>
      </c>
      <c r="C58" s="1">
        <v>45688</v>
      </c>
      <c r="D58" s="2" t="s">
        <v>66</v>
      </c>
      <c r="E58" s="2"/>
      <c r="F58" s="2" t="s">
        <v>75</v>
      </c>
      <c r="G58" t="s">
        <v>13</v>
      </c>
      <c r="H58" s="2" t="s">
        <v>14</v>
      </c>
      <c r="I58" t="s">
        <v>37</v>
      </c>
      <c r="J58">
        <v>10</v>
      </c>
    </row>
    <row r="59" spans="1:10" x14ac:dyDescent="0.3">
      <c r="A59" t="s">
        <v>73</v>
      </c>
      <c r="B59" s="1">
        <v>45689</v>
      </c>
      <c r="C59" s="1">
        <v>45747</v>
      </c>
      <c r="D59" s="2" t="s">
        <v>11</v>
      </c>
      <c r="E59" s="2"/>
      <c r="F59" s="2" t="s">
        <v>76</v>
      </c>
      <c r="G59" t="s">
        <v>13</v>
      </c>
      <c r="H59" s="2" t="s">
        <v>14</v>
      </c>
      <c r="I59" t="s">
        <v>37</v>
      </c>
      <c r="J59">
        <v>10</v>
      </c>
    </row>
    <row r="60" spans="1:10" x14ac:dyDescent="0.3">
      <c r="A60" t="s">
        <v>73</v>
      </c>
      <c r="B60" s="1">
        <v>45748</v>
      </c>
      <c r="C60" s="1">
        <v>45770</v>
      </c>
      <c r="D60" s="2" t="s">
        <v>68</v>
      </c>
      <c r="E60" s="2"/>
      <c r="F60" s="2" t="s">
        <v>74</v>
      </c>
      <c r="G60" t="s">
        <v>13</v>
      </c>
      <c r="H60" s="2" t="s">
        <v>14</v>
      </c>
      <c r="I60" s="2" t="s">
        <v>18</v>
      </c>
    </row>
    <row r="61" spans="1:10" x14ac:dyDescent="0.3">
      <c r="A61" t="s">
        <v>73</v>
      </c>
      <c r="B61" s="1">
        <v>45772</v>
      </c>
      <c r="C61" s="1">
        <v>45838</v>
      </c>
      <c r="D61" s="2" t="s">
        <v>69</v>
      </c>
      <c r="E61" s="2"/>
      <c r="F61" s="2" t="s">
        <v>50</v>
      </c>
      <c r="G61" t="s">
        <v>13</v>
      </c>
      <c r="H61" s="2" t="s">
        <v>14</v>
      </c>
      <c r="I61" s="2" t="s">
        <v>18</v>
      </c>
    </row>
    <row r="62" spans="1:10" x14ac:dyDescent="0.3">
      <c r="A62" t="s">
        <v>73</v>
      </c>
      <c r="B62" s="1">
        <v>45839</v>
      </c>
      <c r="C62" s="1">
        <v>45930</v>
      </c>
      <c r="D62" s="4" t="s">
        <v>77</v>
      </c>
      <c r="E62" s="4"/>
      <c r="F62" s="2" t="s">
        <v>78</v>
      </c>
      <c r="G62" t="s">
        <v>32</v>
      </c>
      <c r="H62" s="4" t="s">
        <v>33</v>
      </c>
      <c r="I62" t="s">
        <v>37</v>
      </c>
      <c r="J62">
        <f>C62-B62</f>
        <v>91</v>
      </c>
    </row>
    <row r="63" spans="1:10" x14ac:dyDescent="0.3">
      <c r="A63" t="s">
        <v>73</v>
      </c>
      <c r="B63" s="1">
        <v>45930</v>
      </c>
      <c r="C63" s="1">
        <v>45961</v>
      </c>
      <c r="D63" s="4" t="s">
        <v>79</v>
      </c>
      <c r="E63" s="4"/>
      <c r="F63" s="2" t="s">
        <v>80</v>
      </c>
      <c r="G63" t="s">
        <v>32</v>
      </c>
      <c r="H63" s="4" t="s">
        <v>33</v>
      </c>
      <c r="I63" t="s">
        <v>18</v>
      </c>
      <c r="J63">
        <v>30</v>
      </c>
    </row>
    <row r="64" spans="1:10" x14ac:dyDescent="0.3">
      <c r="A64" t="s">
        <v>73</v>
      </c>
      <c r="B64" s="1">
        <v>45962</v>
      </c>
      <c r="C64" s="1">
        <v>45976</v>
      </c>
      <c r="D64" s="4" t="s">
        <v>90</v>
      </c>
      <c r="E64" s="4"/>
      <c r="F64" s="2" t="s">
        <v>82</v>
      </c>
      <c r="G64" t="s">
        <v>32</v>
      </c>
      <c r="H64" s="4" t="s">
        <v>63</v>
      </c>
      <c r="I64" t="s">
        <v>18</v>
      </c>
    </row>
    <row r="65" spans="1:10" x14ac:dyDescent="0.3">
      <c r="A65" t="s">
        <v>73</v>
      </c>
      <c r="B65" s="1">
        <v>45976</v>
      </c>
      <c r="C65" s="1">
        <v>46006</v>
      </c>
      <c r="D65" s="3" t="s">
        <v>43</v>
      </c>
      <c r="E65" s="3"/>
      <c r="F65" s="2" t="s">
        <v>40</v>
      </c>
      <c r="G65" t="s">
        <v>44</v>
      </c>
      <c r="H65" t="s">
        <v>45</v>
      </c>
      <c r="I65" t="s">
        <v>46</v>
      </c>
      <c r="J65">
        <v>30</v>
      </c>
    </row>
    <row r="66" spans="1:10" x14ac:dyDescent="0.3">
      <c r="A66" t="s">
        <v>73</v>
      </c>
      <c r="D66" s="3" t="s">
        <v>47</v>
      </c>
      <c r="E66" s="3"/>
      <c r="F66" s="2" t="s">
        <v>83</v>
      </c>
      <c r="I66" t="s">
        <v>46</v>
      </c>
    </row>
  </sheetData>
  <conditionalFormatting sqref="I1:I1048576">
    <cfRule type="containsText" dxfId="21" priority="1" operator="containsText" text="Highly variable (Lab)">
      <formula>NOT(ISERROR(SEARCH("Highly variable (Lab)",I1)))</formula>
    </cfRule>
    <cfRule type="containsText" dxfId="20" priority="2" operator="containsText" text="Future steps">
      <formula>NOT(ISERROR(SEARCH("Future steps",I1)))</formula>
    </cfRule>
    <cfRule type="containsText" dxfId="19" priority="3" operator="containsText" text="Needs to be updated">
      <formula>NOT(ISERROR(SEARCH("Needs to be updated",I1)))</formula>
    </cfRule>
    <cfRule type="containsText" dxfId="18" priority="4" operator="containsText" text="Operational">
      <formula>NOT(ISERROR(SEARCH("Operational",I1)))</formula>
    </cfRule>
    <cfRule type="containsText" dxfId="17" priority="5" operator="containsText" text="Outstanding">
      <formula>NOT(ISERROR(SEARCH("Outstanding",I1)))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workbookViewId="0">
      <selection activeCell="B23" sqref="B23"/>
    </sheetView>
  </sheetViews>
  <sheetFormatPr defaultRowHeight="14.4" x14ac:dyDescent="0.3"/>
  <cols>
    <col min="1" max="1" width="26.109375" bestFit="1" customWidth="1"/>
    <col min="2" max="2" width="53.88671875" customWidth="1"/>
    <col min="3" max="4" width="33.44140625" customWidth="1"/>
    <col min="5" max="5" width="17.109375" bestFit="1" customWidth="1"/>
    <col min="6" max="6" width="10.109375" bestFit="1" customWidth="1"/>
    <col min="7" max="7" width="10.5546875" bestFit="1" customWidth="1"/>
  </cols>
  <sheetData>
    <row r="1" spans="1:9" x14ac:dyDescent="0.3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1</v>
      </c>
      <c r="G1" t="s">
        <v>2</v>
      </c>
      <c r="H1" t="s">
        <v>8</v>
      </c>
      <c r="I1" t="s">
        <v>9</v>
      </c>
    </row>
    <row r="2" spans="1:9" x14ac:dyDescent="0.3">
      <c r="A2" t="s">
        <v>10</v>
      </c>
      <c r="B2" s="2" t="s">
        <v>11</v>
      </c>
      <c r="C2" t="s">
        <v>13</v>
      </c>
      <c r="D2" s="2" t="s">
        <v>14</v>
      </c>
      <c r="E2" t="s">
        <v>15</v>
      </c>
      <c r="F2" s="1">
        <v>45352</v>
      </c>
      <c r="G2" s="1">
        <v>45382</v>
      </c>
      <c r="H2">
        <v>30</v>
      </c>
    </row>
    <row r="3" spans="1:9" x14ac:dyDescent="0.3">
      <c r="A3" t="s">
        <v>10</v>
      </c>
      <c r="B3" s="2" t="s">
        <v>19</v>
      </c>
      <c r="C3" t="s">
        <v>13</v>
      </c>
      <c r="D3" s="2" t="s">
        <v>14</v>
      </c>
      <c r="E3" t="s">
        <v>18</v>
      </c>
      <c r="F3" s="1">
        <v>45364</v>
      </c>
      <c r="G3" s="1">
        <v>45430</v>
      </c>
      <c r="H3">
        <v>10</v>
      </c>
    </row>
    <row r="4" spans="1:9" x14ac:dyDescent="0.3">
      <c r="A4" t="s">
        <v>10</v>
      </c>
      <c r="B4" s="2" t="s">
        <v>21</v>
      </c>
      <c r="C4" t="s">
        <v>13</v>
      </c>
      <c r="D4" s="2" t="s">
        <v>14</v>
      </c>
      <c r="E4" t="s">
        <v>18</v>
      </c>
      <c r="F4" s="1">
        <v>45453</v>
      </c>
      <c r="G4" s="1">
        <v>45527</v>
      </c>
      <c r="H4">
        <v>10</v>
      </c>
    </row>
    <row r="5" spans="1:9" x14ac:dyDescent="0.3">
      <c r="A5" t="s">
        <v>10</v>
      </c>
      <c r="B5" s="2" t="s">
        <v>22</v>
      </c>
      <c r="C5" t="s">
        <v>13</v>
      </c>
      <c r="D5" s="2" t="s">
        <v>14</v>
      </c>
      <c r="E5" t="s">
        <v>18</v>
      </c>
      <c r="F5" s="1">
        <v>45544</v>
      </c>
      <c r="G5" s="1">
        <v>45596</v>
      </c>
      <c r="H5">
        <v>10</v>
      </c>
    </row>
    <row r="6" spans="1:9" x14ac:dyDescent="0.3">
      <c r="A6" t="s">
        <v>10</v>
      </c>
      <c r="B6" s="2" t="s">
        <v>23</v>
      </c>
      <c r="C6" t="s">
        <v>13</v>
      </c>
      <c r="D6" s="2" t="s">
        <v>14</v>
      </c>
      <c r="E6" t="s">
        <v>18</v>
      </c>
      <c r="F6" s="1">
        <v>45635</v>
      </c>
      <c r="G6" s="1">
        <v>45716</v>
      </c>
      <c r="H6">
        <v>10</v>
      </c>
    </row>
    <row r="7" spans="1:9" x14ac:dyDescent="0.3">
      <c r="A7" t="s">
        <v>10</v>
      </c>
      <c r="B7" s="2" t="s">
        <v>24</v>
      </c>
      <c r="C7" t="s">
        <v>13</v>
      </c>
      <c r="D7" s="2" t="s">
        <v>14</v>
      </c>
      <c r="E7" t="s">
        <v>26</v>
      </c>
      <c r="F7" s="1">
        <v>45522</v>
      </c>
      <c r="G7" s="1">
        <v>45553</v>
      </c>
      <c r="I7" t="s">
        <v>27</v>
      </c>
    </row>
    <row r="8" spans="1:9" x14ac:dyDescent="0.3">
      <c r="A8" t="s">
        <v>10</v>
      </c>
      <c r="B8" s="2" t="s">
        <v>28</v>
      </c>
      <c r="C8" t="s">
        <v>13</v>
      </c>
      <c r="D8" s="2" t="s">
        <v>14</v>
      </c>
      <c r="E8" t="s">
        <v>26</v>
      </c>
      <c r="F8" s="1">
        <v>45619</v>
      </c>
      <c r="G8" s="1">
        <v>45649</v>
      </c>
      <c r="I8" t="s">
        <v>27</v>
      </c>
    </row>
    <row r="9" spans="1:9" x14ac:dyDescent="0.3">
      <c r="A9" t="s">
        <v>10</v>
      </c>
      <c r="B9" s="2" t="s">
        <v>29</v>
      </c>
      <c r="C9" t="s">
        <v>13</v>
      </c>
      <c r="D9" s="2" t="s">
        <v>14</v>
      </c>
      <c r="E9" t="s">
        <v>26</v>
      </c>
      <c r="F9" s="1">
        <v>45716</v>
      </c>
      <c r="G9" s="1">
        <v>45747</v>
      </c>
      <c r="I9" t="s">
        <v>27</v>
      </c>
    </row>
    <row r="10" spans="1:9" x14ac:dyDescent="0.3">
      <c r="A10" t="s">
        <v>10</v>
      </c>
      <c r="B10" s="2" t="s">
        <v>30</v>
      </c>
      <c r="C10" t="s">
        <v>13</v>
      </c>
      <c r="D10" s="2" t="s">
        <v>14</v>
      </c>
      <c r="E10" t="s">
        <v>26</v>
      </c>
      <c r="F10" s="1">
        <v>45805</v>
      </c>
      <c r="G10" s="1">
        <v>45836</v>
      </c>
      <c r="I10" t="s">
        <v>27</v>
      </c>
    </row>
    <row r="11" spans="1:9" x14ac:dyDescent="0.3">
      <c r="A11" t="s">
        <v>10</v>
      </c>
      <c r="B11" s="4" t="s">
        <v>91</v>
      </c>
      <c r="C11" t="s">
        <v>32</v>
      </c>
      <c r="D11" s="4" t="s">
        <v>33</v>
      </c>
      <c r="E11" t="s">
        <v>46</v>
      </c>
      <c r="F11" s="1">
        <v>45658</v>
      </c>
      <c r="G11" s="1">
        <v>45716</v>
      </c>
      <c r="H11">
        <v>10</v>
      </c>
    </row>
    <row r="12" spans="1:9" x14ac:dyDescent="0.3">
      <c r="A12" t="s">
        <v>10</v>
      </c>
      <c r="B12" s="4" t="s">
        <v>91</v>
      </c>
      <c r="C12" t="s">
        <v>32</v>
      </c>
      <c r="D12" s="4" t="s">
        <v>33</v>
      </c>
      <c r="E12" t="s">
        <v>46</v>
      </c>
      <c r="F12" s="1">
        <v>45809</v>
      </c>
      <c r="G12" s="1">
        <v>45869</v>
      </c>
      <c r="H12">
        <v>10</v>
      </c>
    </row>
    <row r="13" spans="1:9" x14ac:dyDescent="0.3">
      <c r="A13" t="s">
        <v>10</v>
      </c>
      <c r="B13" s="4" t="s">
        <v>92</v>
      </c>
      <c r="C13" t="s">
        <v>32</v>
      </c>
      <c r="D13" s="4" t="s">
        <v>33</v>
      </c>
      <c r="E13" t="s">
        <v>18</v>
      </c>
      <c r="F13" s="1">
        <v>45373</v>
      </c>
      <c r="G13" s="1">
        <v>45436</v>
      </c>
      <c r="H13">
        <f t="shared" ref="H13:H20" si="0">G13-F13</f>
        <v>63</v>
      </c>
    </row>
    <row r="14" spans="1:9" x14ac:dyDescent="0.3">
      <c r="A14" t="s">
        <v>10</v>
      </c>
      <c r="B14" s="4" t="s">
        <v>93</v>
      </c>
      <c r="C14" t="s">
        <v>32</v>
      </c>
      <c r="D14" s="4" t="s">
        <v>33</v>
      </c>
      <c r="E14" t="s">
        <v>18</v>
      </c>
      <c r="F14" s="1">
        <v>45464</v>
      </c>
      <c r="G14" s="1">
        <v>45534</v>
      </c>
      <c r="H14">
        <f t="shared" si="0"/>
        <v>70</v>
      </c>
    </row>
    <row r="15" spans="1:9" x14ac:dyDescent="0.3">
      <c r="A15" t="s">
        <v>10</v>
      </c>
      <c r="B15" s="4" t="s">
        <v>94</v>
      </c>
      <c r="C15" t="s">
        <v>32</v>
      </c>
      <c r="D15" s="4" t="s">
        <v>33</v>
      </c>
      <c r="E15" t="s">
        <v>18</v>
      </c>
      <c r="F15" s="1">
        <v>45555</v>
      </c>
      <c r="G15" s="1">
        <v>45604</v>
      </c>
      <c r="H15">
        <f t="shared" si="0"/>
        <v>49</v>
      </c>
    </row>
    <row r="16" spans="1:9" x14ac:dyDescent="0.3">
      <c r="A16" t="s">
        <v>10</v>
      </c>
      <c r="B16" s="4" t="s">
        <v>95</v>
      </c>
      <c r="C16" t="s">
        <v>32</v>
      </c>
      <c r="D16" s="4" t="s">
        <v>33</v>
      </c>
      <c r="E16" t="s">
        <v>18</v>
      </c>
      <c r="F16" s="1">
        <v>45646</v>
      </c>
      <c r="G16" s="1">
        <v>45723</v>
      </c>
      <c r="H16">
        <f t="shared" si="0"/>
        <v>77</v>
      </c>
    </row>
    <row r="17" spans="1:9" x14ac:dyDescent="0.3">
      <c r="A17" t="s">
        <v>10</v>
      </c>
      <c r="B17" s="4" t="s">
        <v>96</v>
      </c>
      <c r="C17" t="s">
        <v>32</v>
      </c>
      <c r="D17" s="4" t="s">
        <v>33</v>
      </c>
      <c r="E17" t="s">
        <v>37</v>
      </c>
      <c r="F17" s="1">
        <v>45373</v>
      </c>
      <c r="G17" s="1">
        <v>45436</v>
      </c>
      <c r="H17">
        <f t="shared" si="0"/>
        <v>63</v>
      </c>
    </row>
    <row r="18" spans="1:9" x14ac:dyDescent="0.3">
      <c r="A18" t="s">
        <v>10</v>
      </c>
      <c r="B18" s="4" t="s">
        <v>96</v>
      </c>
      <c r="C18" t="s">
        <v>32</v>
      </c>
      <c r="D18" s="4" t="s">
        <v>33</v>
      </c>
      <c r="E18" t="s">
        <v>37</v>
      </c>
      <c r="F18" s="1">
        <v>45464</v>
      </c>
      <c r="G18" s="1">
        <v>45534</v>
      </c>
      <c r="H18">
        <f t="shared" si="0"/>
        <v>70</v>
      </c>
    </row>
    <row r="19" spans="1:9" x14ac:dyDescent="0.3">
      <c r="A19" t="s">
        <v>10</v>
      </c>
      <c r="B19" s="4" t="s">
        <v>96</v>
      </c>
      <c r="C19" t="s">
        <v>32</v>
      </c>
      <c r="D19" s="4" t="s">
        <v>33</v>
      </c>
      <c r="E19" t="s">
        <v>37</v>
      </c>
      <c r="F19" s="1">
        <v>45555</v>
      </c>
      <c r="G19" s="1">
        <v>45604</v>
      </c>
      <c r="H19">
        <f t="shared" si="0"/>
        <v>49</v>
      </c>
    </row>
    <row r="20" spans="1:9" x14ac:dyDescent="0.3">
      <c r="A20" t="s">
        <v>10</v>
      </c>
      <c r="B20" s="4" t="s">
        <v>96</v>
      </c>
      <c r="C20" t="s">
        <v>32</v>
      </c>
      <c r="D20" s="4" t="s">
        <v>33</v>
      </c>
      <c r="E20" t="s">
        <v>37</v>
      </c>
      <c r="F20" s="1">
        <v>45646</v>
      </c>
      <c r="G20" s="1">
        <v>45723</v>
      </c>
      <c r="H20">
        <f t="shared" si="0"/>
        <v>77</v>
      </c>
    </row>
    <row r="21" spans="1:9" x14ac:dyDescent="0.3">
      <c r="A21" t="s">
        <v>10</v>
      </c>
      <c r="B21" s="4" t="s">
        <v>97</v>
      </c>
      <c r="C21" t="s">
        <v>32</v>
      </c>
      <c r="D21" s="4" t="s">
        <v>33</v>
      </c>
      <c r="E21" t="s">
        <v>46</v>
      </c>
      <c r="F21" s="1">
        <v>45717</v>
      </c>
      <c r="G21" s="1">
        <v>45747</v>
      </c>
      <c r="H21">
        <v>30</v>
      </c>
      <c r="I21" t="s">
        <v>38</v>
      </c>
    </row>
    <row r="22" spans="1:9" x14ac:dyDescent="0.3">
      <c r="A22" t="s">
        <v>10</v>
      </c>
      <c r="B22" s="4" t="s">
        <v>98</v>
      </c>
      <c r="C22" t="s">
        <v>32</v>
      </c>
      <c r="D22" s="4" t="s">
        <v>33</v>
      </c>
      <c r="E22" t="s">
        <v>46</v>
      </c>
      <c r="F22" s="1">
        <v>45717</v>
      </c>
      <c r="G22" s="1">
        <v>45747</v>
      </c>
      <c r="H22">
        <v>30</v>
      </c>
    </row>
    <row r="23" spans="1:9" x14ac:dyDescent="0.3">
      <c r="A23" t="s">
        <v>10</v>
      </c>
      <c r="B23" s="3" t="s">
        <v>47</v>
      </c>
      <c r="C23" t="s">
        <v>44</v>
      </c>
      <c r="D23" t="s">
        <v>45</v>
      </c>
      <c r="E23" t="s">
        <v>46</v>
      </c>
      <c r="F23" s="1">
        <v>45778</v>
      </c>
      <c r="G23" s="1">
        <v>45958</v>
      </c>
      <c r="H23">
        <v>180</v>
      </c>
    </row>
    <row r="24" spans="1:9" x14ac:dyDescent="0.3">
      <c r="A24" t="s">
        <v>10</v>
      </c>
      <c r="B24" s="3" t="s">
        <v>43</v>
      </c>
      <c r="C24" t="s">
        <v>44</v>
      </c>
      <c r="D24" t="s">
        <v>45</v>
      </c>
      <c r="E24" t="s">
        <v>46</v>
      </c>
      <c r="F24" s="1">
        <v>45956</v>
      </c>
      <c r="G24" s="1">
        <v>45986</v>
      </c>
      <c r="H24">
        <v>30</v>
      </c>
    </row>
    <row r="25" spans="1:9" x14ac:dyDescent="0.3">
      <c r="A25" t="s">
        <v>49</v>
      </c>
      <c r="B25" s="2" t="s">
        <v>11</v>
      </c>
      <c r="C25" t="s">
        <v>13</v>
      </c>
      <c r="D25" s="2" t="s">
        <v>14</v>
      </c>
      <c r="E25" t="s">
        <v>18</v>
      </c>
      <c r="F25" s="1">
        <v>45352</v>
      </c>
      <c r="G25" s="1">
        <v>45382</v>
      </c>
      <c r="H25">
        <v>30</v>
      </c>
    </row>
    <row r="26" spans="1:9" x14ac:dyDescent="0.3">
      <c r="A26" t="s">
        <v>49</v>
      </c>
      <c r="B26" s="2" t="s">
        <v>19</v>
      </c>
      <c r="C26" t="s">
        <v>13</v>
      </c>
      <c r="D26" s="2" t="s">
        <v>14</v>
      </c>
      <c r="E26" t="s">
        <v>18</v>
      </c>
      <c r="F26" s="1">
        <v>45390</v>
      </c>
      <c r="G26" s="1">
        <v>45412</v>
      </c>
      <c r="H26">
        <v>10</v>
      </c>
    </row>
    <row r="27" spans="1:9" x14ac:dyDescent="0.3">
      <c r="A27" t="s">
        <v>49</v>
      </c>
      <c r="B27" s="2" t="s">
        <v>22</v>
      </c>
      <c r="C27" t="s">
        <v>13</v>
      </c>
      <c r="D27" s="2" t="s">
        <v>14</v>
      </c>
      <c r="E27" t="s">
        <v>18</v>
      </c>
      <c r="F27" s="1">
        <v>45536</v>
      </c>
      <c r="G27" s="1">
        <v>45611</v>
      </c>
      <c r="H27">
        <v>10</v>
      </c>
    </row>
    <row r="28" spans="1:9" x14ac:dyDescent="0.3">
      <c r="A28" t="s">
        <v>49</v>
      </c>
      <c r="B28" s="2" t="s">
        <v>24</v>
      </c>
      <c r="C28" t="s">
        <v>13</v>
      </c>
      <c r="D28" s="2" t="s">
        <v>14</v>
      </c>
      <c r="E28" t="s">
        <v>18</v>
      </c>
      <c r="F28" s="1">
        <v>45474</v>
      </c>
      <c r="G28" s="1">
        <v>45534</v>
      </c>
      <c r="H28">
        <v>30</v>
      </c>
    </row>
    <row r="29" spans="1:9" x14ac:dyDescent="0.3">
      <c r="A29" t="s">
        <v>49</v>
      </c>
      <c r="B29" s="2" t="s">
        <v>29</v>
      </c>
      <c r="C29" t="s">
        <v>13</v>
      </c>
      <c r="D29" s="2" t="s">
        <v>14</v>
      </c>
      <c r="E29" t="s">
        <v>18</v>
      </c>
      <c r="F29" s="1">
        <v>45689</v>
      </c>
      <c r="G29" s="1">
        <v>45719</v>
      </c>
      <c r="H29">
        <v>30</v>
      </c>
    </row>
    <row r="30" spans="1:9" x14ac:dyDescent="0.3">
      <c r="A30" t="s">
        <v>49</v>
      </c>
      <c r="B30" s="4" t="s">
        <v>91</v>
      </c>
      <c r="C30" t="s">
        <v>32</v>
      </c>
      <c r="D30" s="4" t="s">
        <v>33</v>
      </c>
      <c r="E30" t="s">
        <v>18</v>
      </c>
      <c r="F30" s="1">
        <v>45748</v>
      </c>
      <c r="G30" s="1">
        <v>45778</v>
      </c>
      <c r="H30">
        <v>10</v>
      </c>
    </row>
    <row r="31" spans="1:9" x14ac:dyDescent="0.3">
      <c r="A31" t="s">
        <v>49</v>
      </c>
      <c r="B31" s="4" t="s">
        <v>99</v>
      </c>
      <c r="C31" t="s">
        <v>32</v>
      </c>
      <c r="D31" s="4" t="s">
        <v>33</v>
      </c>
      <c r="E31" t="s">
        <v>18</v>
      </c>
      <c r="F31" s="1">
        <v>45404</v>
      </c>
      <c r="G31" s="1">
        <v>45422</v>
      </c>
      <c r="H31">
        <f>G31-F31</f>
        <v>18</v>
      </c>
    </row>
    <row r="32" spans="1:9" x14ac:dyDescent="0.3">
      <c r="A32" t="s">
        <v>49</v>
      </c>
      <c r="B32" s="4" t="s">
        <v>100</v>
      </c>
      <c r="C32" t="s">
        <v>32</v>
      </c>
      <c r="D32" s="4" t="s">
        <v>33</v>
      </c>
      <c r="E32" t="s">
        <v>18</v>
      </c>
      <c r="F32" s="1">
        <v>45557</v>
      </c>
      <c r="G32" s="1">
        <v>45611</v>
      </c>
      <c r="H32">
        <f>G32-F32</f>
        <v>54</v>
      </c>
    </row>
    <row r="33" spans="1:9" x14ac:dyDescent="0.3">
      <c r="A33" t="s">
        <v>49</v>
      </c>
      <c r="B33" s="4" t="s">
        <v>101</v>
      </c>
      <c r="C33" t="s">
        <v>32</v>
      </c>
      <c r="D33" s="4" t="s">
        <v>33</v>
      </c>
      <c r="E33" t="s">
        <v>18</v>
      </c>
      <c r="F33" s="1">
        <v>45719</v>
      </c>
      <c r="G33" s="1">
        <v>45778</v>
      </c>
      <c r="H33">
        <v>30</v>
      </c>
    </row>
    <row r="34" spans="1:9" x14ac:dyDescent="0.3">
      <c r="A34" t="s">
        <v>49</v>
      </c>
      <c r="B34" s="3" t="s">
        <v>47</v>
      </c>
      <c r="C34" t="s">
        <v>44</v>
      </c>
      <c r="D34" t="s">
        <v>45</v>
      </c>
      <c r="E34" t="s">
        <v>18</v>
      </c>
      <c r="F34" s="1">
        <v>45778</v>
      </c>
      <c r="G34" s="1">
        <v>45991</v>
      </c>
      <c r="H34">
        <v>180</v>
      </c>
      <c r="I34" t="s">
        <v>54</v>
      </c>
    </row>
    <row r="35" spans="1:9" x14ac:dyDescent="0.3">
      <c r="A35" t="s">
        <v>49</v>
      </c>
      <c r="B35" s="3" t="s">
        <v>43</v>
      </c>
      <c r="C35" t="s">
        <v>44</v>
      </c>
      <c r="D35" t="s">
        <v>45</v>
      </c>
      <c r="E35" t="s">
        <v>18</v>
      </c>
      <c r="F35" s="1">
        <v>45778</v>
      </c>
      <c r="G35" s="1">
        <v>45809</v>
      </c>
      <c r="H35">
        <v>30</v>
      </c>
    </row>
    <row r="36" spans="1:9" x14ac:dyDescent="0.3">
      <c r="A36" t="s">
        <v>55</v>
      </c>
      <c r="B36" s="2" t="s">
        <v>69</v>
      </c>
      <c r="C36" t="s">
        <v>13</v>
      </c>
      <c r="D36" s="2" t="s">
        <v>14</v>
      </c>
      <c r="E36" t="s">
        <v>18</v>
      </c>
      <c r="F36" s="1">
        <v>45348</v>
      </c>
      <c r="G36" s="1">
        <v>45618</v>
      </c>
      <c r="H36">
        <v>10</v>
      </c>
    </row>
    <row r="37" spans="1:9" x14ac:dyDescent="0.3">
      <c r="A37" t="s">
        <v>55</v>
      </c>
      <c r="B37" s="4" t="s">
        <v>102</v>
      </c>
      <c r="C37" t="s">
        <v>32</v>
      </c>
      <c r="D37" s="4" t="s">
        <v>33</v>
      </c>
      <c r="E37" t="s">
        <v>18</v>
      </c>
      <c r="F37" s="1">
        <v>45348</v>
      </c>
      <c r="G37" s="1">
        <v>45626</v>
      </c>
      <c r="H37">
        <f>G37-F37</f>
        <v>278</v>
      </c>
    </row>
    <row r="38" spans="1:9" x14ac:dyDescent="0.3">
      <c r="A38" t="s">
        <v>55</v>
      </c>
      <c r="B38" s="4" t="s">
        <v>58</v>
      </c>
      <c r="C38" t="s">
        <v>32</v>
      </c>
      <c r="D38" s="4" t="s">
        <v>33</v>
      </c>
      <c r="E38" t="s">
        <v>18</v>
      </c>
      <c r="F38" s="1">
        <v>45348</v>
      </c>
      <c r="G38" s="1">
        <v>45626</v>
      </c>
      <c r="H38">
        <f>G38-F38</f>
        <v>278</v>
      </c>
    </row>
    <row r="39" spans="1:9" x14ac:dyDescent="0.3">
      <c r="A39" t="s">
        <v>55</v>
      </c>
      <c r="B39" s="4" t="s">
        <v>101</v>
      </c>
      <c r="C39" t="s">
        <v>32</v>
      </c>
      <c r="D39" s="4" t="s">
        <v>33</v>
      </c>
      <c r="E39" t="s">
        <v>46</v>
      </c>
      <c r="F39" s="1">
        <v>45627</v>
      </c>
      <c r="G39" s="1">
        <v>45689</v>
      </c>
      <c r="H39">
        <v>30</v>
      </c>
    </row>
    <row r="40" spans="1:9" x14ac:dyDescent="0.3">
      <c r="A40" t="s">
        <v>55</v>
      </c>
      <c r="B40" s="3" t="s">
        <v>47</v>
      </c>
      <c r="C40" t="s">
        <v>44</v>
      </c>
      <c r="D40" t="s">
        <v>45</v>
      </c>
      <c r="E40" t="s">
        <v>46</v>
      </c>
      <c r="F40" s="1">
        <v>45689</v>
      </c>
      <c r="G40" s="1">
        <v>45900</v>
      </c>
      <c r="H40">
        <v>180</v>
      </c>
    </row>
    <row r="41" spans="1:9" x14ac:dyDescent="0.3">
      <c r="A41" t="s">
        <v>55</v>
      </c>
      <c r="B41" s="3" t="s">
        <v>43</v>
      </c>
      <c r="C41" t="s">
        <v>44</v>
      </c>
      <c r="D41" t="s">
        <v>45</v>
      </c>
      <c r="E41" t="s">
        <v>46</v>
      </c>
      <c r="F41" s="1">
        <v>45689</v>
      </c>
      <c r="G41" s="1">
        <v>45717</v>
      </c>
      <c r="H41">
        <v>30</v>
      </c>
    </row>
  </sheetData>
  <phoneticPr fontId="18" type="noConversion"/>
  <conditionalFormatting sqref="E1:E1048576">
    <cfRule type="containsText" dxfId="16" priority="1" operator="containsText" text="Highly variable (Lab)">
      <formula>NOT(ISERROR(SEARCH("Highly variable (Lab)",E1)))</formula>
    </cfRule>
    <cfRule type="containsText" dxfId="15" priority="2" operator="containsText" text="Future steps">
      <formula>NOT(ISERROR(SEARCH("Future steps",E1)))</formula>
    </cfRule>
    <cfRule type="containsText" dxfId="14" priority="3" operator="containsText" text="Needs to be updated">
      <formula>NOT(ISERROR(SEARCH("Needs to be updated",E1)))</formula>
    </cfRule>
    <cfRule type="containsText" dxfId="13" priority="4" operator="containsText" text="Operational">
      <formula>NOT(ISERROR(SEARCH("Operational",E1)))</formula>
    </cfRule>
    <cfRule type="containsText" dxfId="12" priority="5" operator="containsText" text="Outstanding">
      <formula>NOT(ISERROR(SEARCH("Outstanding",E1)))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277bc2-f8fe-4901-aaef-f93f447d4e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706F723D31D4F83CC9C5C59DBC8F8" ma:contentTypeVersion="13" ma:contentTypeDescription="Create a new document." ma:contentTypeScope="" ma:versionID="695fbb31dc55dcb4af8466a553e7bd26">
  <xsd:schema xmlns:xsd="http://www.w3.org/2001/XMLSchema" xmlns:xs="http://www.w3.org/2001/XMLSchema" xmlns:p="http://schemas.microsoft.com/office/2006/metadata/properties" xmlns:ns2="23277bc2-f8fe-4901-aaef-f93f447d4e50" xmlns:ns3="31062a0d-ede8-4112-b4bb-00a9c1bc8e16" xmlns:ns4="f4d87443-fb63-4041-8bab-c8366de136ed" targetNamespace="http://schemas.microsoft.com/office/2006/metadata/properties" ma:root="true" ma:fieldsID="bfd64fca7a59f31c91016cd9716abba0" ns2:_="" ns3:_="" ns4:_="">
    <xsd:import namespace="23277bc2-f8fe-4901-aaef-f93f447d4e50"/>
    <xsd:import namespace="31062a0d-ede8-4112-b4bb-00a9c1bc8e16"/>
    <xsd:import namespace="f4d87443-fb63-4041-8bab-c8366de13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277bc2-f8fe-4901-aaef-f93f447d4e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53e6e6e-66d6-4ebb-8763-5e3d605b5394}" ma:internalName="TaxCatchAll" ma:showField="CatchAllData" ma:web="f4d87443-fb63-4041-8bab-c8366de136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87443-fb63-4041-8bab-c8366de136e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9F9CD7-0849-46C0-97CE-14E5105C4BBF}">
  <ds:schemaRefs>
    <ds:schemaRef ds:uri="http://schemas.microsoft.com/office/2006/metadata/properties"/>
    <ds:schemaRef ds:uri="http://schemas.microsoft.com/office/infopath/2007/PartnerControls"/>
    <ds:schemaRef ds:uri="23277bc2-f8fe-4901-aaef-f93f447d4e50"/>
    <ds:schemaRef ds:uri="31062a0d-ede8-4112-b4bb-00a9c1bc8e16"/>
  </ds:schemaRefs>
</ds:datastoreItem>
</file>

<file path=customXml/itemProps2.xml><?xml version="1.0" encoding="utf-8"?>
<ds:datastoreItem xmlns:ds="http://schemas.openxmlformats.org/officeDocument/2006/customXml" ds:itemID="{BF906F0C-EAD5-4063-B1F4-CACE1A8B80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277bc2-f8fe-4901-aaef-f93f447d4e50"/>
    <ds:schemaRef ds:uri="31062a0d-ede8-4112-b4bb-00a9c1bc8e16"/>
    <ds:schemaRef ds:uri="f4d87443-fb63-4041-8bab-c8366de136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36A645-BD30-401A-A8BF-CC55C109D0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vs</vt:lpstr>
      <vt:lpstr>wr</vt:lpstr>
      <vt:lpstr>wr2</vt:lpstr>
      <vt:lpstr>wr_original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Ploughe, Laura Weber</dc:creator>
  <cp:keywords/>
  <dc:description/>
  <cp:lastModifiedBy>Ploughe, Laura W</cp:lastModifiedBy>
  <cp:revision/>
  <dcterms:created xsi:type="dcterms:W3CDTF">2024-02-26T17:59:50Z</dcterms:created>
  <dcterms:modified xsi:type="dcterms:W3CDTF">2025-12-23T19:29:09Z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0x0101007FF706F723D31D4F83CC9C5C59DBC8F8</vt:lpwstr>
  </property>
  <property fmtid="{D5CDD505-2E9C-101B-9397-08002B2CF9AE}" pid="3" name="MediaServiceImageTags">
    <vt:lpwstr/>
  </property>
</Properties>
</file>